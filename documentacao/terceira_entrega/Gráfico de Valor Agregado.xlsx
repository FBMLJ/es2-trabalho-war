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adrão" sheetId="2" r:id="rId5"/>
    <sheet state="visible" name="Página2" sheetId="3" r:id="rId6"/>
  </sheets>
  <definedNames/>
  <calcPr/>
</workbook>
</file>

<file path=xl/sharedStrings.xml><?xml version="1.0" encoding="utf-8"?>
<sst xmlns="http://schemas.openxmlformats.org/spreadsheetml/2006/main" count="95" uniqueCount="49">
  <si>
    <t>Indice</t>
  </si>
  <si>
    <t>Total de Horas Até o momento:</t>
  </si>
  <si>
    <t>Homen Hora</t>
  </si>
  <si>
    <t>Preço Total</t>
  </si>
  <si>
    <t>Dias</t>
  </si>
  <si>
    <t>Horas Planejadas</t>
  </si>
  <si>
    <t>Horas Planejamento Acumulada</t>
  </si>
  <si>
    <t>Porcentagem  Conclusão Planejamento</t>
  </si>
  <si>
    <t>Preço Planejado(PV)</t>
  </si>
  <si>
    <t>Horas Planejadas Feitas</t>
  </si>
  <si>
    <t>Horas Planejadas Acumuladas Feita</t>
  </si>
  <si>
    <t>Porcentagem Planejada Feita</t>
  </si>
  <si>
    <t>Valor Agregado(EV)</t>
  </si>
  <si>
    <t>Horas Feitas</t>
  </si>
  <si>
    <t xml:space="preserve">Horas Acumuladas Feitas </t>
  </si>
  <si>
    <t>Preço Real(AC)</t>
  </si>
  <si>
    <t>Preço Real</t>
  </si>
  <si>
    <t>h1</t>
  </si>
  <si>
    <t>=e3*h1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</si>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</sst>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"/>
    <numFmt numFmtId="166" formatCode="d.m.yyyy"/>
  </numFmts>
  <fonts count="4">
    <font>
      <sz val="10.0"/>
      <color rgb="FF000000"/>
      <name val="Arial"/>
    </font>
    <font>
      <color rgb="FFFFFFFF"/>
      <name val="Comfortaa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7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3" fillId="2" fontId="1" numFmtId="1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2" fontId="1" numFmtId="16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2" fontId="1" numFmtId="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5" fillId="0" fontId="2" numFmtId="0" xfId="0" applyBorder="1" applyFont="1"/>
    <xf borderId="6" fillId="2" fontId="1" numFmtId="1" xfId="0" applyAlignment="1" applyBorder="1" applyFont="1" applyNumberFormat="1">
      <alignment horizontal="center" readingOrder="0" shrinkToFit="0" vertical="center" wrapText="1"/>
    </xf>
    <xf borderId="4" fillId="2" fontId="1" numFmtId="1" xfId="0" applyAlignment="1" applyBorder="1" applyFont="1" applyNumberFormat="1">
      <alignment horizontal="center" readingOrder="0" shrinkToFit="0" vertical="center" wrapText="1"/>
    </xf>
    <xf borderId="4" fillId="2" fontId="1" numFmtId="10" xfId="0" applyAlignment="1" applyBorder="1" applyFont="1" applyNumberFormat="1">
      <alignment horizontal="center" readingOrder="0" shrinkToFit="0" vertical="center" wrapText="1"/>
    </xf>
    <xf borderId="4" fillId="2" fontId="1" numFmtId="164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1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horizontal="center"/>
    </xf>
    <xf borderId="4" fillId="2" fontId="1" numFmtId="164" xfId="0" applyAlignment="1" applyBorder="1" applyFont="1" applyNumberFormat="1">
      <alignment horizontal="center" vertical="center"/>
    </xf>
    <xf borderId="4" fillId="2" fontId="1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de Valor Agregado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'Página1'!$F$1:$F$2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'Página1'!$B$3:$B$330</c:f>
            </c:strRef>
          </c:cat>
          <c:val>
            <c:numRef>
              <c:f>'Página1'!$F$3:$F$330</c:f>
              <c:numCache/>
            </c:numRef>
          </c:val>
          <c:smooth val="0"/>
        </c:ser>
        <c:ser>
          <c:idx val="1"/>
          <c:order val="1"/>
          <c:tx>
            <c:strRef>
              <c:f>'Página1'!$J$1:$J$2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'Página1'!$B$3:$B$330</c:f>
            </c:strRef>
          </c:cat>
          <c:val>
            <c:numRef>
              <c:f>'Página1'!$J$3:$J$330</c:f>
              <c:numCache/>
            </c:numRef>
          </c:val>
          <c:smooth val="0"/>
        </c:ser>
        <c:ser>
          <c:idx val="2"/>
          <c:order val="2"/>
          <c:tx>
            <c:strRef>
              <c:f>'Página1'!$O$1:$O$2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'Página1'!$B$3:$B$330</c:f>
            </c:strRef>
          </c:cat>
          <c:val>
            <c:numRef>
              <c:f>'Página1'!$O$3:$O$330</c:f>
              <c:numCache/>
            </c:numRef>
          </c:val>
          <c:smooth val="0"/>
        </c:ser>
        <c:axId val="2141103714"/>
        <c:axId val="1024126049"/>
      </c:lineChart>
      <c:catAx>
        <c:axId val="2141103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126049"/>
      </c:catAx>
      <c:valAx>
        <c:axId val="1024126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103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de Valor Agregado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'padrão'!$F$1:$F$2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'padrão'!$B$3:$B$330</c:f>
            </c:strRef>
          </c:cat>
          <c:val>
            <c:numRef>
              <c:f>'padrão'!$F$3:$F$330</c:f>
              <c:numCache/>
            </c:numRef>
          </c:val>
          <c:smooth val="0"/>
        </c:ser>
        <c:ser>
          <c:idx val="1"/>
          <c:order val="1"/>
          <c:tx>
            <c:strRef>
              <c:f>'padrão'!$J$1:$J$2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'padrão'!$B$3:$B$330</c:f>
            </c:strRef>
          </c:cat>
          <c:val>
            <c:numRef>
              <c:f>'padrão'!$J$3:$J$330</c:f>
              <c:numCache/>
            </c:numRef>
          </c:val>
          <c:smooth val="0"/>
        </c:ser>
        <c:ser>
          <c:idx val="2"/>
          <c:order val="2"/>
          <c:tx>
            <c:strRef>
              <c:f>'padrão'!$O$1:$O$2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'padrão'!$B$3:$B$330</c:f>
            </c:strRef>
          </c:cat>
          <c:val>
            <c:numRef>
              <c:f>'padrão'!$O$3:$O$330</c:f>
              <c:numCache/>
            </c:numRef>
          </c:val>
          <c:smooth val="0"/>
        </c:ser>
        <c:axId val="2032713002"/>
        <c:axId val="1130542104"/>
      </c:lineChart>
      <c:catAx>
        <c:axId val="203271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542104"/>
      </c:catAx>
      <c:valAx>
        <c:axId val="1130542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713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238125</xdr:colOff>
      <xdr:row>1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1343025</xdr:colOff>
      <xdr:row>34</xdr:row>
      <xdr:rowOff>133350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28.86"/>
    <col customWidth="1" min="3" max="3" width="21.29"/>
    <col customWidth="1" min="4" max="4" width="34.29"/>
    <col customWidth="1" min="5" max="5" width="29.29"/>
    <col customWidth="1" min="6" max="6" width="28.14"/>
    <col customWidth="1" min="7" max="8" width="28.86"/>
    <col customWidth="1" min="9" max="9" width="22.43"/>
    <col customWidth="1" min="12" max="12" width="17.29"/>
    <col hidden="1" min="13" max="14" width="14.43"/>
    <col hidden="1" min="17" max="17" width="14.43"/>
  </cols>
  <sheetData>
    <row r="1">
      <c r="A1" s="1" t="s">
        <v>0</v>
      </c>
      <c r="B1" s="2" t="s">
        <v>1</v>
      </c>
      <c r="C1" s="3"/>
      <c r="D1" s="4">
        <v>273.0</v>
      </c>
      <c r="E1" s="5" t="s">
        <v>2</v>
      </c>
      <c r="F1" s="6">
        <v>16.67</v>
      </c>
      <c r="G1" s="5"/>
      <c r="H1" s="5" t="s">
        <v>3</v>
      </c>
      <c r="I1" s="5">
        <v>4217.51</v>
      </c>
      <c r="J1" s="7"/>
      <c r="K1" s="7"/>
      <c r="L1" s="7"/>
      <c r="M1" s="8">
        <f>D1</f>
        <v>273</v>
      </c>
      <c r="N1" s="7">
        <f>I1</f>
        <v>4217.51</v>
      </c>
      <c r="O1" s="7"/>
      <c r="P1" s="9"/>
      <c r="Q1" s="10">
        <f>F1</f>
        <v>16.67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/>
      <c r="B2" s="12" t="s">
        <v>4</v>
      </c>
      <c r="C2" s="12" t="s">
        <v>5</v>
      </c>
      <c r="D2" s="13" t="s">
        <v>6</v>
      </c>
      <c r="E2" s="14" t="s">
        <v>7</v>
      </c>
      <c r="F2" s="15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7">
        <f t="shared" ref="M2:N2" si="1">M1</f>
        <v>273</v>
      </c>
      <c r="N2" s="18">
        <f t="shared" si="1"/>
        <v>4217.51</v>
      </c>
      <c r="O2" s="16" t="s">
        <v>15</v>
      </c>
      <c r="P2" s="19"/>
      <c r="Q2" s="20">
        <f t="shared" ref="Q2:Q193" si="3">Q1</f>
        <v>16.67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21">
        <v>1.0</v>
      </c>
      <c r="B3" s="22">
        <v>44374.0</v>
      </c>
      <c r="C3" s="21"/>
      <c r="D3" s="21" t="str">
        <f>C3</f>
        <v/>
      </c>
      <c r="E3" s="23">
        <f t="shared" ref="E3:E85" si="4">D3/M1</f>
        <v>0</v>
      </c>
      <c r="F3" s="24">
        <f t="shared" ref="F3:F85" si="5">E3*N1</f>
        <v>0</v>
      </c>
      <c r="G3" s="21"/>
      <c r="H3" s="25" t="str">
        <f>G3</f>
        <v/>
      </c>
      <c r="I3" s="23">
        <f t="shared" ref="I3:I85" si="6">H3/M1</f>
        <v>0</v>
      </c>
      <c r="J3" s="25">
        <f t="shared" ref="J3:J85" si="7">I3*N1</f>
        <v>0</v>
      </c>
      <c r="K3" s="21"/>
      <c r="L3" s="25" t="str">
        <f>K3</f>
        <v/>
      </c>
      <c r="M3" s="26">
        <f t="shared" ref="M3:N3" si="2">M2</f>
        <v>273</v>
      </c>
      <c r="N3" s="27">
        <f t="shared" si="2"/>
        <v>4217.51</v>
      </c>
      <c r="O3" s="24">
        <f t="shared" ref="O3:O85" si="9">L3*Q1</f>
        <v>0</v>
      </c>
      <c r="P3" s="9"/>
      <c r="Q3" s="20">
        <f t="shared" si="3"/>
        <v>16.67</v>
      </c>
      <c r="R3" s="9"/>
      <c r="S3" s="9"/>
      <c r="T3" s="9"/>
      <c r="U3" s="9"/>
      <c r="V3" s="9"/>
      <c r="W3" s="28"/>
      <c r="X3" s="29"/>
      <c r="Y3" s="9"/>
      <c r="Z3" s="9"/>
      <c r="AA3" s="9"/>
      <c r="AB3" s="9"/>
    </row>
    <row r="4">
      <c r="A4" s="21">
        <v>2.0</v>
      </c>
      <c r="B4" s="22">
        <v>44375.0</v>
      </c>
      <c r="C4" s="21"/>
      <c r="D4" s="25">
        <f t="shared" ref="D4:D81" si="10">D3+C4</f>
        <v>0</v>
      </c>
      <c r="E4" s="23">
        <f t="shared" si="4"/>
        <v>0</v>
      </c>
      <c r="F4" s="24">
        <f t="shared" si="5"/>
        <v>0</v>
      </c>
      <c r="G4" s="21"/>
      <c r="H4" s="25">
        <f t="shared" ref="H4:H80" si="11">G4+H3</f>
        <v>0</v>
      </c>
      <c r="I4" s="23">
        <f t="shared" si="6"/>
        <v>0</v>
      </c>
      <c r="J4" s="25">
        <f t="shared" si="7"/>
        <v>0</v>
      </c>
      <c r="K4" s="25"/>
      <c r="L4" s="25">
        <f t="shared" ref="L4:L85" si="12">K4+L3</f>
        <v>0</v>
      </c>
      <c r="M4" s="26">
        <f t="shared" ref="M4:N4" si="8">M3</f>
        <v>273</v>
      </c>
      <c r="N4" s="27">
        <f t="shared" si="8"/>
        <v>4217.51</v>
      </c>
      <c r="O4" s="24">
        <f t="shared" si="9"/>
        <v>0</v>
      </c>
      <c r="P4" s="9"/>
      <c r="Q4" s="20">
        <f t="shared" si="3"/>
        <v>16.67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21">
        <v>3.0</v>
      </c>
      <c r="B5" s="22">
        <v>44376.0</v>
      </c>
      <c r="C5" s="21"/>
      <c r="D5" s="25">
        <f t="shared" si="10"/>
        <v>0</v>
      </c>
      <c r="E5" s="23">
        <f t="shared" si="4"/>
        <v>0</v>
      </c>
      <c r="F5" s="24">
        <f t="shared" si="5"/>
        <v>0</v>
      </c>
      <c r="G5" s="21"/>
      <c r="H5" s="25">
        <f t="shared" si="11"/>
        <v>0</v>
      </c>
      <c r="I5" s="23">
        <f t="shared" si="6"/>
        <v>0</v>
      </c>
      <c r="J5" s="25">
        <f t="shared" si="7"/>
        <v>0</v>
      </c>
      <c r="K5" s="25"/>
      <c r="L5" s="25">
        <f t="shared" si="12"/>
        <v>0</v>
      </c>
      <c r="M5" s="26">
        <f t="shared" ref="M5:N5" si="13">M4</f>
        <v>273</v>
      </c>
      <c r="N5" s="27">
        <f t="shared" si="13"/>
        <v>4217.51</v>
      </c>
      <c r="O5" s="24">
        <f t="shared" si="9"/>
        <v>0</v>
      </c>
      <c r="P5" s="9"/>
      <c r="Q5" s="20">
        <f t="shared" si="3"/>
        <v>16.67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21">
        <v>4.0</v>
      </c>
      <c r="B6" s="22">
        <v>44377.0</v>
      </c>
      <c r="C6" s="21"/>
      <c r="D6" s="25">
        <f t="shared" si="10"/>
        <v>0</v>
      </c>
      <c r="E6" s="23">
        <f t="shared" si="4"/>
        <v>0</v>
      </c>
      <c r="F6" s="24">
        <f t="shared" si="5"/>
        <v>0</v>
      </c>
      <c r="G6" s="21"/>
      <c r="H6" s="25">
        <f t="shared" si="11"/>
        <v>0</v>
      </c>
      <c r="I6" s="23">
        <f t="shared" si="6"/>
        <v>0</v>
      </c>
      <c r="J6" s="25">
        <f t="shared" si="7"/>
        <v>0</v>
      </c>
      <c r="K6" s="21"/>
      <c r="L6" s="25">
        <f t="shared" si="12"/>
        <v>0</v>
      </c>
      <c r="M6" s="26">
        <f t="shared" ref="M6:N6" si="14">M5</f>
        <v>273</v>
      </c>
      <c r="N6" s="27">
        <f t="shared" si="14"/>
        <v>4217.51</v>
      </c>
      <c r="O6" s="24">
        <f t="shared" si="9"/>
        <v>0</v>
      </c>
      <c r="P6" s="9"/>
      <c r="Q6" s="20">
        <f t="shared" si="3"/>
        <v>16.67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1">
        <v>5.0</v>
      </c>
      <c r="B7" s="22">
        <v>44378.0</v>
      </c>
      <c r="C7" s="21">
        <v>11.0</v>
      </c>
      <c r="D7" s="25">
        <f t="shared" si="10"/>
        <v>11</v>
      </c>
      <c r="E7" s="23">
        <f t="shared" si="4"/>
        <v>0.04029304029</v>
      </c>
      <c r="F7" s="24">
        <f t="shared" si="5"/>
        <v>169.9363004</v>
      </c>
      <c r="G7" s="21">
        <v>10.0</v>
      </c>
      <c r="H7" s="25">
        <f t="shared" si="11"/>
        <v>10</v>
      </c>
      <c r="I7" s="23">
        <f t="shared" si="6"/>
        <v>0.03663003663</v>
      </c>
      <c r="J7" s="25">
        <f t="shared" si="7"/>
        <v>154.4875458</v>
      </c>
      <c r="K7" s="21">
        <v>16.0</v>
      </c>
      <c r="L7" s="25">
        <f t="shared" si="12"/>
        <v>16</v>
      </c>
      <c r="M7" s="26">
        <f t="shared" ref="M7:N7" si="15">M6</f>
        <v>273</v>
      </c>
      <c r="N7" s="27">
        <f t="shared" si="15"/>
        <v>4217.51</v>
      </c>
      <c r="O7" s="24">
        <f t="shared" si="9"/>
        <v>266.72</v>
      </c>
      <c r="P7" s="9"/>
      <c r="Q7" s="20">
        <f t="shared" si="3"/>
        <v>16.67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21">
        <v>6.0</v>
      </c>
      <c r="B8" s="22">
        <v>44379.0</v>
      </c>
      <c r="C8" s="21">
        <v>12.0</v>
      </c>
      <c r="D8" s="25">
        <f t="shared" si="10"/>
        <v>23</v>
      </c>
      <c r="E8" s="23">
        <f t="shared" si="4"/>
        <v>0.08424908425</v>
      </c>
      <c r="F8" s="24">
        <f t="shared" si="5"/>
        <v>355.3213553</v>
      </c>
      <c r="G8" s="21">
        <v>12.0</v>
      </c>
      <c r="H8" s="25">
        <f t="shared" si="11"/>
        <v>22</v>
      </c>
      <c r="I8" s="23">
        <f t="shared" si="6"/>
        <v>0.08058608059</v>
      </c>
      <c r="J8" s="25">
        <f t="shared" si="7"/>
        <v>339.8726007</v>
      </c>
      <c r="K8" s="21">
        <v>8.0</v>
      </c>
      <c r="L8" s="25">
        <f t="shared" si="12"/>
        <v>24</v>
      </c>
      <c r="M8" s="26">
        <f t="shared" ref="M8:N8" si="16">M7</f>
        <v>273</v>
      </c>
      <c r="N8" s="27">
        <f t="shared" si="16"/>
        <v>4217.51</v>
      </c>
      <c r="O8" s="24">
        <f t="shared" si="9"/>
        <v>400.08</v>
      </c>
      <c r="P8" s="9"/>
      <c r="Q8" s="20">
        <f t="shared" si="3"/>
        <v>16.67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21">
        <v>7.0</v>
      </c>
      <c r="B9" s="22">
        <v>44380.0</v>
      </c>
      <c r="C9" s="21">
        <v>7.0</v>
      </c>
      <c r="D9" s="25">
        <f t="shared" si="10"/>
        <v>30</v>
      </c>
      <c r="E9" s="23">
        <f t="shared" si="4"/>
        <v>0.1098901099</v>
      </c>
      <c r="F9" s="24">
        <f t="shared" si="5"/>
        <v>463.4626374</v>
      </c>
      <c r="G9" s="21">
        <v>7.0</v>
      </c>
      <c r="H9" s="25">
        <f t="shared" si="11"/>
        <v>29</v>
      </c>
      <c r="I9" s="23">
        <f t="shared" si="6"/>
        <v>0.1062271062</v>
      </c>
      <c r="J9" s="25">
        <f t="shared" si="7"/>
        <v>448.0138828</v>
      </c>
      <c r="K9" s="21">
        <v>7.0</v>
      </c>
      <c r="L9" s="25">
        <f t="shared" si="12"/>
        <v>31</v>
      </c>
      <c r="M9" s="26">
        <f t="shared" ref="M9:N9" si="17">M8</f>
        <v>273</v>
      </c>
      <c r="N9" s="27">
        <f t="shared" si="17"/>
        <v>4217.51</v>
      </c>
      <c r="O9" s="24">
        <f t="shared" si="9"/>
        <v>516.77</v>
      </c>
      <c r="P9" s="9"/>
      <c r="Q9" s="20">
        <f t="shared" si="3"/>
        <v>16.67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21">
        <v>8.0</v>
      </c>
      <c r="B10" s="22">
        <v>44381.0</v>
      </c>
      <c r="C10" s="21"/>
      <c r="D10" s="25">
        <f t="shared" si="10"/>
        <v>30</v>
      </c>
      <c r="E10" s="23">
        <f t="shared" si="4"/>
        <v>0.1098901099</v>
      </c>
      <c r="F10" s="24">
        <f t="shared" si="5"/>
        <v>463.4626374</v>
      </c>
      <c r="G10" s="21"/>
      <c r="H10" s="25">
        <f t="shared" si="11"/>
        <v>29</v>
      </c>
      <c r="I10" s="23">
        <f t="shared" si="6"/>
        <v>0.1062271062</v>
      </c>
      <c r="J10" s="25">
        <f t="shared" si="7"/>
        <v>448.0138828</v>
      </c>
      <c r="K10" s="21"/>
      <c r="L10" s="25">
        <f t="shared" si="12"/>
        <v>31</v>
      </c>
      <c r="M10" s="26">
        <f t="shared" ref="M10:N10" si="18">M9</f>
        <v>273</v>
      </c>
      <c r="N10" s="27">
        <f t="shared" si="18"/>
        <v>4217.51</v>
      </c>
      <c r="O10" s="24">
        <f t="shared" si="9"/>
        <v>516.77</v>
      </c>
      <c r="P10" s="9"/>
      <c r="Q10" s="20">
        <f t="shared" si="3"/>
        <v>16.67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21">
        <v>9.0</v>
      </c>
      <c r="B11" s="22">
        <v>44382.0</v>
      </c>
      <c r="C11" s="21"/>
      <c r="D11" s="25">
        <f t="shared" si="10"/>
        <v>30</v>
      </c>
      <c r="E11" s="23">
        <f t="shared" si="4"/>
        <v>0.1098901099</v>
      </c>
      <c r="F11" s="24">
        <f t="shared" si="5"/>
        <v>463.4626374</v>
      </c>
      <c r="G11" s="21"/>
      <c r="H11" s="25">
        <f t="shared" si="11"/>
        <v>29</v>
      </c>
      <c r="I11" s="23">
        <f t="shared" si="6"/>
        <v>0.1062271062</v>
      </c>
      <c r="J11" s="25">
        <f t="shared" si="7"/>
        <v>448.0138828</v>
      </c>
      <c r="K11" s="21"/>
      <c r="L11" s="25">
        <f t="shared" si="12"/>
        <v>31</v>
      </c>
      <c r="M11" s="26">
        <f t="shared" ref="M11:N11" si="19">M10</f>
        <v>273</v>
      </c>
      <c r="N11" s="27">
        <f t="shared" si="19"/>
        <v>4217.51</v>
      </c>
      <c r="O11" s="24">
        <f t="shared" si="9"/>
        <v>516.77</v>
      </c>
      <c r="P11" s="9"/>
      <c r="Q11" s="20">
        <f t="shared" si="3"/>
        <v>16.67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21">
        <v>10.0</v>
      </c>
      <c r="B12" s="22">
        <v>44383.0</v>
      </c>
      <c r="C12" s="21"/>
      <c r="D12" s="25">
        <f t="shared" si="10"/>
        <v>30</v>
      </c>
      <c r="E12" s="23">
        <f t="shared" si="4"/>
        <v>0.1098901099</v>
      </c>
      <c r="F12" s="24">
        <f t="shared" si="5"/>
        <v>463.4626374</v>
      </c>
      <c r="G12" s="21"/>
      <c r="H12" s="25">
        <f t="shared" si="11"/>
        <v>29</v>
      </c>
      <c r="I12" s="23">
        <f t="shared" si="6"/>
        <v>0.1062271062</v>
      </c>
      <c r="J12" s="25">
        <f t="shared" si="7"/>
        <v>448.0138828</v>
      </c>
      <c r="K12" s="21"/>
      <c r="L12" s="25">
        <f t="shared" si="12"/>
        <v>31</v>
      </c>
      <c r="M12" s="26">
        <f t="shared" ref="M12:N12" si="20">M11</f>
        <v>273</v>
      </c>
      <c r="N12" s="27">
        <f t="shared" si="20"/>
        <v>4217.51</v>
      </c>
      <c r="O12" s="24">
        <f t="shared" si="9"/>
        <v>516.77</v>
      </c>
      <c r="P12" s="9"/>
      <c r="Q12" s="20">
        <f t="shared" si="3"/>
        <v>16.67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21">
        <v>11.0</v>
      </c>
      <c r="B13" s="22">
        <v>44384.0</v>
      </c>
      <c r="C13" s="21"/>
      <c r="D13" s="25">
        <f t="shared" si="10"/>
        <v>30</v>
      </c>
      <c r="E13" s="23">
        <f t="shared" si="4"/>
        <v>0.1098901099</v>
      </c>
      <c r="F13" s="24">
        <f t="shared" si="5"/>
        <v>463.4626374</v>
      </c>
      <c r="G13" s="21"/>
      <c r="H13" s="25">
        <f t="shared" si="11"/>
        <v>29</v>
      </c>
      <c r="I13" s="23">
        <f t="shared" si="6"/>
        <v>0.1062271062</v>
      </c>
      <c r="J13" s="25">
        <f t="shared" si="7"/>
        <v>448.0138828</v>
      </c>
      <c r="K13" s="21"/>
      <c r="L13" s="25">
        <f t="shared" si="12"/>
        <v>31</v>
      </c>
      <c r="M13" s="26">
        <f t="shared" ref="M13:N13" si="21">M12</f>
        <v>273</v>
      </c>
      <c r="N13" s="27">
        <f t="shared" si="21"/>
        <v>4217.51</v>
      </c>
      <c r="O13" s="24">
        <f t="shared" si="9"/>
        <v>516.77</v>
      </c>
      <c r="P13" s="9"/>
      <c r="Q13" s="20">
        <f t="shared" si="3"/>
        <v>16.67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21">
        <v>12.0</v>
      </c>
      <c r="B14" s="22">
        <v>44385.0</v>
      </c>
      <c r="C14" s="21"/>
      <c r="D14" s="25">
        <f t="shared" si="10"/>
        <v>30</v>
      </c>
      <c r="E14" s="23">
        <f t="shared" si="4"/>
        <v>0.1098901099</v>
      </c>
      <c r="F14" s="24">
        <f t="shared" si="5"/>
        <v>463.4626374</v>
      </c>
      <c r="G14" s="21"/>
      <c r="H14" s="25">
        <f t="shared" si="11"/>
        <v>29</v>
      </c>
      <c r="I14" s="23">
        <f t="shared" si="6"/>
        <v>0.1062271062</v>
      </c>
      <c r="J14" s="25">
        <f t="shared" si="7"/>
        <v>448.0138828</v>
      </c>
      <c r="K14" s="21"/>
      <c r="L14" s="25">
        <f t="shared" si="12"/>
        <v>31</v>
      </c>
      <c r="M14" s="26">
        <f t="shared" ref="M14:N14" si="22">M13</f>
        <v>273</v>
      </c>
      <c r="N14" s="27">
        <f t="shared" si="22"/>
        <v>4217.51</v>
      </c>
      <c r="O14" s="24">
        <f t="shared" si="9"/>
        <v>516.77</v>
      </c>
      <c r="P14" s="9"/>
      <c r="Q14" s="20">
        <f t="shared" si="3"/>
        <v>16.67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21">
        <v>13.0</v>
      </c>
      <c r="B15" s="22">
        <v>44386.0</v>
      </c>
      <c r="C15" s="21">
        <v>19.0</v>
      </c>
      <c r="D15" s="25">
        <f t="shared" si="10"/>
        <v>49</v>
      </c>
      <c r="E15" s="23">
        <f t="shared" si="4"/>
        <v>0.1794871795</v>
      </c>
      <c r="F15" s="24">
        <f t="shared" si="5"/>
        <v>756.9889744</v>
      </c>
      <c r="G15" s="21">
        <v>19.0</v>
      </c>
      <c r="H15" s="25">
        <f t="shared" si="11"/>
        <v>48</v>
      </c>
      <c r="I15" s="23">
        <f t="shared" si="6"/>
        <v>0.1758241758</v>
      </c>
      <c r="J15" s="25">
        <f t="shared" si="7"/>
        <v>741.5402198</v>
      </c>
      <c r="K15" s="21">
        <v>25.0</v>
      </c>
      <c r="L15" s="25">
        <f t="shared" si="12"/>
        <v>56</v>
      </c>
      <c r="M15" s="26">
        <f t="shared" ref="M15:N15" si="23">M14</f>
        <v>273</v>
      </c>
      <c r="N15" s="27">
        <f t="shared" si="23"/>
        <v>4217.51</v>
      </c>
      <c r="O15" s="24">
        <f t="shared" si="9"/>
        <v>933.52</v>
      </c>
      <c r="P15" s="9"/>
      <c r="Q15" s="20">
        <f t="shared" si="3"/>
        <v>16.67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21">
        <v>14.0</v>
      </c>
      <c r="B16" s="22">
        <v>44387.0</v>
      </c>
      <c r="C16" s="21"/>
      <c r="D16" s="25">
        <f t="shared" si="10"/>
        <v>49</v>
      </c>
      <c r="E16" s="23">
        <f t="shared" si="4"/>
        <v>0.1794871795</v>
      </c>
      <c r="F16" s="24">
        <f t="shared" si="5"/>
        <v>756.9889744</v>
      </c>
      <c r="G16" s="21"/>
      <c r="H16" s="25">
        <f t="shared" si="11"/>
        <v>48</v>
      </c>
      <c r="I16" s="23">
        <f t="shared" si="6"/>
        <v>0.1758241758</v>
      </c>
      <c r="J16" s="25">
        <f t="shared" si="7"/>
        <v>741.5402198</v>
      </c>
      <c r="K16" s="21"/>
      <c r="L16" s="25">
        <f t="shared" si="12"/>
        <v>56</v>
      </c>
      <c r="M16" s="26">
        <f t="shared" ref="M16:N16" si="24">M15</f>
        <v>273</v>
      </c>
      <c r="N16" s="27">
        <f t="shared" si="24"/>
        <v>4217.51</v>
      </c>
      <c r="O16" s="24">
        <f t="shared" si="9"/>
        <v>933.52</v>
      </c>
      <c r="P16" s="9"/>
      <c r="Q16" s="20">
        <f t="shared" si="3"/>
        <v>16.67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21">
        <v>15.0</v>
      </c>
      <c r="B17" s="22">
        <v>44388.0</v>
      </c>
      <c r="C17" s="21">
        <v>14.0</v>
      </c>
      <c r="D17" s="25">
        <f t="shared" si="10"/>
        <v>63</v>
      </c>
      <c r="E17" s="23">
        <f t="shared" si="4"/>
        <v>0.2307692308</v>
      </c>
      <c r="F17" s="24">
        <f t="shared" si="5"/>
        <v>973.2715385</v>
      </c>
      <c r="G17" s="21">
        <v>15.0</v>
      </c>
      <c r="H17" s="25">
        <f t="shared" si="11"/>
        <v>63</v>
      </c>
      <c r="I17" s="23">
        <f t="shared" si="6"/>
        <v>0.2307692308</v>
      </c>
      <c r="J17" s="25">
        <f t="shared" si="7"/>
        <v>973.2715385</v>
      </c>
      <c r="K17" s="21">
        <v>8.0</v>
      </c>
      <c r="L17" s="25">
        <f t="shared" si="12"/>
        <v>64</v>
      </c>
      <c r="M17" s="26">
        <f t="shared" ref="M17:N17" si="25">M16</f>
        <v>273</v>
      </c>
      <c r="N17" s="27">
        <f t="shared" si="25"/>
        <v>4217.51</v>
      </c>
      <c r="O17" s="24">
        <f t="shared" si="9"/>
        <v>1066.88</v>
      </c>
      <c r="P17" s="9"/>
      <c r="Q17" s="20">
        <f t="shared" si="3"/>
        <v>16.67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21">
        <v>16.0</v>
      </c>
      <c r="B18" s="22">
        <v>44389.0</v>
      </c>
      <c r="C18" s="21"/>
      <c r="D18" s="25">
        <f t="shared" si="10"/>
        <v>63</v>
      </c>
      <c r="E18" s="23">
        <f t="shared" si="4"/>
        <v>0.2307692308</v>
      </c>
      <c r="F18" s="24">
        <f t="shared" si="5"/>
        <v>973.2715385</v>
      </c>
      <c r="G18" s="21"/>
      <c r="H18" s="25">
        <f t="shared" si="11"/>
        <v>63</v>
      </c>
      <c r="I18" s="23">
        <f t="shared" si="6"/>
        <v>0.2307692308</v>
      </c>
      <c r="J18" s="25">
        <f t="shared" si="7"/>
        <v>973.2715385</v>
      </c>
      <c r="K18" s="25"/>
      <c r="L18" s="25">
        <f t="shared" si="12"/>
        <v>64</v>
      </c>
      <c r="M18" s="26">
        <f t="shared" ref="M18:N18" si="26">M17</f>
        <v>273</v>
      </c>
      <c r="N18" s="27">
        <f t="shared" si="26"/>
        <v>4217.51</v>
      </c>
      <c r="O18" s="24">
        <f t="shared" si="9"/>
        <v>1066.88</v>
      </c>
      <c r="P18" s="9"/>
      <c r="Q18" s="20">
        <f t="shared" si="3"/>
        <v>16.67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21">
        <v>17.0</v>
      </c>
      <c r="B19" s="22">
        <v>44390.0</v>
      </c>
      <c r="C19" s="21"/>
      <c r="D19" s="25">
        <f t="shared" si="10"/>
        <v>63</v>
      </c>
      <c r="E19" s="23">
        <f t="shared" si="4"/>
        <v>0.2307692308</v>
      </c>
      <c r="F19" s="24">
        <f t="shared" si="5"/>
        <v>973.2715385</v>
      </c>
      <c r="G19" s="21"/>
      <c r="H19" s="25">
        <f t="shared" si="11"/>
        <v>63</v>
      </c>
      <c r="I19" s="23">
        <f t="shared" si="6"/>
        <v>0.2307692308</v>
      </c>
      <c r="J19" s="25">
        <f t="shared" si="7"/>
        <v>973.2715385</v>
      </c>
      <c r="K19" s="25"/>
      <c r="L19" s="25">
        <f t="shared" si="12"/>
        <v>64</v>
      </c>
      <c r="M19" s="26">
        <f t="shared" ref="M19:N19" si="27">M18</f>
        <v>273</v>
      </c>
      <c r="N19" s="27">
        <f t="shared" si="27"/>
        <v>4217.51</v>
      </c>
      <c r="O19" s="24">
        <f t="shared" si="9"/>
        <v>1066.88</v>
      </c>
      <c r="P19" s="9"/>
      <c r="Q19" s="20">
        <f t="shared" si="3"/>
        <v>16.67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21">
        <v>18.0</v>
      </c>
      <c r="B20" s="22">
        <v>44391.0</v>
      </c>
      <c r="C20" s="21"/>
      <c r="D20" s="25">
        <f t="shared" si="10"/>
        <v>63</v>
      </c>
      <c r="E20" s="23">
        <f t="shared" si="4"/>
        <v>0.2307692308</v>
      </c>
      <c r="F20" s="24">
        <f t="shared" si="5"/>
        <v>973.2715385</v>
      </c>
      <c r="G20" s="21"/>
      <c r="H20" s="25">
        <f t="shared" si="11"/>
        <v>63</v>
      </c>
      <c r="I20" s="23">
        <f t="shared" si="6"/>
        <v>0.2307692308</v>
      </c>
      <c r="J20" s="25">
        <f t="shared" si="7"/>
        <v>973.2715385</v>
      </c>
      <c r="K20" s="25"/>
      <c r="L20" s="25">
        <f t="shared" si="12"/>
        <v>64</v>
      </c>
      <c r="M20" s="26">
        <f t="shared" ref="M20:N20" si="28">M19</f>
        <v>273</v>
      </c>
      <c r="N20" s="27">
        <f t="shared" si="28"/>
        <v>4217.51</v>
      </c>
      <c r="O20" s="24">
        <f t="shared" si="9"/>
        <v>1066.88</v>
      </c>
      <c r="P20" s="9"/>
      <c r="Q20" s="20">
        <f t="shared" si="3"/>
        <v>16.67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21">
        <v>19.0</v>
      </c>
      <c r="B21" s="22">
        <v>44392.0</v>
      </c>
      <c r="C21" s="21"/>
      <c r="D21" s="25">
        <f t="shared" si="10"/>
        <v>63</v>
      </c>
      <c r="E21" s="23">
        <f t="shared" si="4"/>
        <v>0.2307692308</v>
      </c>
      <c r="F21" s="24">
        <f t="shared" si="5"/>
        <v>973.2715385</v>
      </c>
      <c r="G21" s="21"/>
      <c r="H21" s="25">
        <f t="shared" si="11"/>
        <v>63</v>
      </c>
      <c r="I21" s="23">
        <f t="shared" si="6"/>
        <v>0.2307692308</v>
      </c>
      <c r="J21" s="25">
        <f t="shared" si="7"/>
        <v>973.2715385</v>
      </c>
      <c r="K21" s="25"/>
      <c r="L21" s="25">
        <f t="shared" si="12"/>
        <v>64</v>
      </c>
      <c r="M21" s="26">
        <f t="shared" ref="M21:N21" si="29">M20</f>
        <v>273</v>
      </c>
      <c r="N21" s="27">
        <f t="shared" si="29"/>
        <v>4217.51</v>
      </c>
      <c r="O21" s="24">
        <f t="shared" si="9"/>
        <v>1066.88</v>
      </c>
      <c r="P21" s="9"/>
      <c r="Q21" s="20">
        <f t="shared" si="3"/>
        <v>16.67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1">
        <v>20.0</v>
      </c>
      <c r="B22" s="22">
        <v>44393.0</v>
      </c>
      <c r="C22" s="21"/>
      <c r="D22" s="25">
        <f t="shared" si="10"/>
        <v>63</v>
      </c>
      <c r="E22" s="23">
        <f t="shared" si="4"/>
        <v>0.2307692308</v>
      </c>
      <c r="F22" s="24">
        <f t="shared" si="5"/>
        <v>973.2715385</v>
      </c>
      <c r="G22" s="21"/>
      <c r="H22" s="25">
        <f t="shared" si="11"/>
        <v>63</v>
      </c>
      <c r="I22" s="23">
        <f t="shared" si="6"/>
        <v>0.2307692308</v>
      </c>
      <c r="J22" s="25">
        <f t="shared" si="7"/>
        <v>973.2715385</v>
      </c>
      <c r="K22" s="21"/>
      <c r="L22" s="25">
        <f t="shared" si="12"/>
        <v>64</v>
      </c>
      <c r="M22" s="26">
        <f t="shared" ref="M22:N22" si="30">M21</f>
        <v>273</v>
      </c>
      <c r="N22" s="27">
        <f t="shared" si="30"/>
        <v>4217.51</v>
      </c>
      <c r="O22" s="24">
        <f t="shared" si="9"/>
        <v>1066.88</v>
      </c>
      <c r="P22" s="9"/>
      <c r="Q22" s="20">
        <f t="shared" si="3"/>
        <v>16.67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21">
        <v>21.0</v>
      </c>
      <c r="B23" s="22">
        <v>44394.0</v>
      </c>
      <c r="C23" s="21"/>
      <c r="D23" s="25">
        <f t="shared" si="10"/>
        <v>63</v>
      </c>
      <c r="E23" s="23">
        <f t="shared" si="4"/>
        <v>0.2307692308</v>
      </c>
      <c r="F23" s="24">
        <f t="shared" si="5"/>
        <v>973.2715385</v>
      </c>
      <c r="G23" s="21"/>
      <c r="H23" s="25">
        <f t="shared" si="11"/>
        <v>63</v>
      </c>
      <c r="I23" s="23">
        <f t="shared" si="6"/>
        <v>0.2307692308</v>
      </c>
      <c r="J23" s="25">
        <f t="shared" si="7"/>
        <v>973.2715385</v>
      </c>
      <c r="K23" s="25"/>
      <c r="L23" s="25">
        <f t="shared" si="12"/>
        <v>64</v>
      </c>
      <c r="M23" s="26">
        <f t="shared" ref="M23:N23" si="31">M22</f>
        <v>273</v>
      </c>
      <c r="N23" s="27">
        <f t="shared" si="31"/>
        <v>4217.51</v>
      </c>
      <c r="O23" s="24">
        <f t="shared" si="9"/>
        <v>1066.88</v>
      </c>
      <c r="P23" s="9"/>
      <c r="Q23" s="20">
        <f t="shared" si="3"/>
        <v>16.67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21">
        <v>22.0</v>
      </c>
      <c r="B24" s="22">
        <v>44395.0</v>
      </c>
      <c r="C24" s="21"/>
      <c r="D24" s="25">
        <f t="shared" si="10"/>
        <v>63</v>
      </c>
      <c r="E24" s="23">
        <f t="shared" si="4"/>
        <v>0.2307692308</v>
      </c>
      <c r="F24" s="24">
        <f t="shared" si="5"/>
        <v>973.2715385</v>
      </c>
      <c r="G24" s="21"/>
      <c r="H24" s="25">
        <f t="shared" si="11"/>
        <v>63</v>
      </c>
      <c r="I24" s="23">
        <f t="shared" si="6"/>
        <v>0.2307692308</v>
      </c>
      <c r="J24" s="25">
        <f t="shared" si="7"/>
        <v>973.2715385</v>
      </c>
      <c r="K24" s="21"/>
      <c r="L24" s="25">
        <f t="shared" si="12"/>
        <v>64</v>
      </c>
      <c r="M24" s="26">
        <f t="shared" ref="M24:N24" si="32">M23</f>
        <v>273</v>
      </c>
      <c r="N24" s="27">
        <f t="shared" si="32"/>
        <v>4217.51</v>
      </c>
      <c r="O24" s="24">
        <f t="shared" si="9"/>
        <v>1066.88</v>
      </c>
      <c r="P24" s="9"/>
      <c r="Q24" s="20">
        <f t="shared" si="3"/>
        <v>16.67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21">
        <v>23.0</v>
      </c>
      <c r="B25" s="22">
        <v>44396.0</v>
      </c>
      <c r="C25" s="21"/>
      <c r="D25" s="25">
        <f t="shared" si="10"/>
        <v>63</v>
      </c>
      <c r="E25" s="23">
        <f t="shared" si="4"/>
        <v>0.2307692308</v>
      </c>
      <c r="F25" s="24">
        <f t="shared" si="5"/>
        <v>973.2715385</v>
      </c>
      <c r="G25" s="21"/>
      <c r="H25" s="25">
        <f t="shared" si="11"/>
        <v>63</v>
      </c>
      <c r="I25" s="23">
        <f t="shared" si="6"/>
        <v>0.2307692308</v>
      </c>
      <c r="J25" s="25">
        <f t="shared" si="7"/>
        <v>973.2715385</v>
      </c>
      <c r="K25" s="25"/>
      <c r="L25" s="25">
        <f t="shared" si="12"/>
        <v>64</v>
      </c>
      <c r="M25" s="26">
        <f t="shared" ref="M25:N25" si="33">M24</f>
        <v>273</v>
      </c>
      <c r="N25" s="27">
        <f t="shared" si="33"/>
        <v>4217.51</v>
      </c>
      <c r="O25" s="24">
        <f t="shared" si="9"/>
        <v>1066.88</v>
      </c>
      <c r="P25" s="9"/>
      <c r="Q25" s="20">
        <f t="shared" si="3"/>
        <v>16.67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1">
        <v>24.0</v>
      </c>
      <c r="B26" s="22">
        <v>44397.0</v>
      </c>
      <c r="C26" s="21"/>
      <c r="D26" s="25">
        <f t="shared" si="10"/>
        <v>63</v>
      </c>
      <c r="E26" s="23">
        <f t="shared" si="4"/>
        <v>0.2307692308</v>
      </c>
      <c r="F26" s="24">
        <f t="shared" si="5"/>
        <v>973.2715385</v>
      </c>
      <c r="G26" s="21"/>
      <c r="H26" s="25">
        <f t="shared" si="11"/>
        <v>63</v>
      </c>
      <c r="I26" s="23">
        <f t="shared" si="6"/>
        <v>0.2307692308</v>
      </c>
      <c r="J26" s="25">
        <f t="shared" si="7"/>
        <v>973.2715385</v>
      </c>
      <c r="K26" s="25"/>
      <c r="L26" s="25">
        <f t="shared" si="12"/>
        <v>64</v>
      </c>
      <c r="M26" s="26">
        <f t="shared" ref="M26:N26" si="34">M25</f>
        <v>273</v>
      </c>
      <c r="N26" s="27">
        <f t="shared" si="34"/>
        <v>4217.51</v>
      </c>
      <c r="O26" s="24">
        <f t="shared" si="9"/>
        <v>1066.88</v>
      </c>
      <c r="P26" s="9"/>
      <c r="Q26" s="20">
        <f t="shared" si="3"/>
        <v>16.67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21">
        <v>25.0</v>
      </c>
      <c r="B27" s="22">
        <v>44398.0</v>
      </c>
      <c r="C27" s="21"/>
      <c r="D27" s="25">
        <f t="shared" si="10"/>
        <v>63</v>
      </c>
      <c r="E27" s="23">
        <f t="shared" si="4"/>
        <v>0.2307692308</v>
      </c>
      <c r="F27" s="24">
        <f t="shared" si="5"/>
        <v>973.2715385</v>
      </c>
      <c r="G27" s="21"/>
      <c r="H27" s="25">
        <f t="shared" si="11"/>
        <v>63</v>
      </c>
      <c r="I27" s="23">
        <f t="shared" si="6"/>
        <v>0.2307692308</v>
      </c>
      <c r="J27" s="25">
        <f t="shared" si="7"/>
        <v>973.2715385</v>
      </c>
      <c r="K27" s="25"/>
      <c r="L27" s="25">
        <f t="shared" si="12"/>
        <v>64</v>
      </c>
      <c r="M27" s="26">
        <f t="shared" ref="M27:N27" si="35">M26</f>
        <v>273</v>
      </c>
      <c r="N27" s="27">
        <f t="shared" si="35"/>
        <v>4217.51</v>
      </c>
      <c r="O27" s="24">
        <f t="shared" si="9"/>
        <v>1066.88</v>
      </c>
      <c r="P27" s="9"/>
      <c r="Q27" s="20">
        <f t="shared" si="3"/>
        <v>16.67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21">
        <v>26.0</v>
      </c>
      <c r="B28" s="22">
        <v>44399.0</v>
      </c>
      <c r="C28" s="21"/>
      <c r="D28" s="25">
        <f t="shared" si="10"/>
        <v>63</v>
      </c>
      <c r="E28" s="23">
        <f t="shared" si="4"/>
        <v>0.2307692308</v>
      </c>
      <c r="F28" s="24">
        <f t="shared" si="5"/>
        <v>973.2715385</v>
      </c>
      <c r="G28" s="21"/>
      <c r="H28" s="25">
        <f t="shared" si="11"/>
        <v>63</v>
      </c>
      <c r="I28" s="23">
        <f t="shared" si="6"/>
        <v>0.2307692308</v>
      </c>
      <c r="J28" s="25">
        <f t="shared" si="7"/>
        <v>973.2715385</v>
      </c>
      <c r="K28" s="25"/>
      <c r="L28" s="25">
        <f t="shared" si="12"/>
        <v>64</v>
      </c>
      <c r="M28" s="26">
        <f t="shared" ref="M28:N28" si="36">M27</f>
        <v>273</v>
      </c>
      <c r="N28" s="27">
        <f t="shared" si="36"/>
        <v>4217.51</v>
      </c>
      <c r="O28" s="24">
        <f t="shared" si="9"/>
        <v>1066.88</v>
      </c>
      <c r="P28" s="9"/>
      <c r="Q28" s="20">
        <f t="shared" si="3"/>
        <v>16.67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1">
        <v>27.0</v>
      </c>
      <c r="B29" s="22">
        <v>44400.0</v>
      </c>
      <c r="C29" s="21"/>
      <c r="D29" s="25">
        <f t="shared" si="10"/>
        <v>63</v>
      </c>
      <c r="E29" s="23">
        <f t="shared" si="4"/>
        <v>0.2307692308</v>
      </c>
      <c r="F29" s="24">
        <f t="shared" si="5"/>
        <v>973.2715385</v>
      </c>
      <c r="G29" s="21"/>
      <c r="H29" s="25">
        <f t="shared" si="11"/>
        <v>63</v>
      </c>
      <c r="I29" s="23">
        <f t="shared" si="6"/>
        <v>0.2307692308</v>
      </c>
      <c r="J29" s="25">
        <f t="shared" si="7"/>
        <v>973.2715385</v>
      </c>
      <c r="K29" s="25"/>
      <c r="L29" s="25">
        <f t="shared" si="12"/>
        <v>64</v>
      </c>
      <c r="M29" s="26">
        <f t="shared" ref="M29:N29" si="37">M28</f>
        <v>273</v>
      </c>
      <c r="N29" s="27">
        <f t="shared" si="37"/>
        <v>4217.51</v>
      </c>
      <c r="O29" s="24">
        <f t="shared" si="9"/>
        <v>1066.88</v>
      </c>
      <c r="P29" s="9"/>
      <c r="Q29" s="20">
        <f t="shared" si="3"/>
        <v>16.67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21">
        <v>28.0</v>
      </c>
      <c r="B30" s="22">
        <v>44401.0</v>
      </c>
      <c r="C30" s="21">
        <v>1.0</v>
      </c>
      <c r="D30" s="25">
        <f t="shared" si="10"/>
        <v>64</v>
      </c>
      <c r="E30" s="23">
        <f t="shared" si="4"/>
        <v>0.2344322344</v>
      </c>
      <c r="F30" s="24">
        <f t="shared" si="5"/>
        <v>988.720293</v>
      </c>
      <c r="G30" s="21"/>
      <c r="H30" s="25">
        <f t="shared" si="11"/>
        <v>63</v>
      </c>
      <c r="I30" s="23">
        <f t="shared" si="6"/>
        <v>0.2307692308</v>
      </c>
      <c r="J30" s="25">
        <f t="shared" si="7"/>
        <v>973.2715385</v>
      </c>
      <c r="K30" s="25"/>
      <c r="L30" s="25">
        <f t="shared" si="12"/>
        <v>64</v>
      </c>
      <c r="M30" s="26">
        <f t="shared" ref="M30:N30" si="38">M29</f>
        <v>273</v>
      </c>
      <c r="N30" s="27">
        <f t="shared" si="38"/>
        <v>4217.51</v>
      </c>
      <c r="O30" s="24">
        <f t="shared" si="9"/>
        <v>1066.88</v>
      </c>
      <c r="P30" s="9"/>
      <c r="Q30" s="20">
        <f t="shared" si="3"/>
        <v>16.67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21">
        <v>29.0</v>
      </c>
      <c r="B31" s="22">
        <v>44402.0</v>
      </c>
      <c r="C31" s="21">
        <v>8.0</v>
      </c>
      <c r="D31" s="25">
        <f t="shared" si="10"/>
        <v>72</v>
      </c>
      <c r="E31" s="23">
        <f t="shared" si="4"/>
        <v>0.2637362637</v>
      </c>
      <c r="F31" s="24">
        <f t="shared" si="5"/>
        <v>1112.31033</v>
      </c>
      <c r="G31" s="21"/>
      <c r="H31" s="25">
        <f t="shared" si="11"/>
        <v>63</v>
      </c>
      <c r="I31" s="23">
        <f t="shared" si="6"/>
        <v>0.2307692308</v>
      </c>
      <c r="J31" s="25">
        <f t="shared" si="7"/>
        <v>973.2715385</v>
      </c>
      <c r="K31" s="25"/>
      <c r="L31" s="25">
        <f t="shared" si="12"/>
        <v>64</v>
      </c>
      <c r="M31" s="26">
        <f t="shared" ref="M31:N31" si="39">M30</f>
        <v>273</v>
      </c>
      <c r="N31" s="27">
        <f t="shared" si="39"/>
        <v>4217.51</v>
      </c>
      <c r="O31" s="24">
        <f t="shared" si="9"/>
        <v>1066.88</v>
      </c>
      <c r="P31" s="9"/>
      <c r="Q31" s="20">
        <f t="shared" si="3"/>
        <v>16.67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21">
        <v>30.0</v>
      </c>
      <c r="B32" s="22">
        <v>44403.0</v>
      </c>
      <c r="C32" s="21"/>
      <c r="D32" s="25">
        <f t="shared" si="10"/>
        <v>72</v>
      </c>
      <c r="E32" s="23">
        <f t="shared" si="4"/>
        <v>0.2637362637</v>
      </c>
      <c r="F32" s="24">
        <f t="shared" si="5"/>
        <v>1112.31033</v>
      </c>
      <c r="G32" s="21"/>
      <c r="H32" s="25">
        <f t="shared" si="11"/>
        <v>63</v>
      </c>
      <c r="I32" s="23">
        <f t="shared" si="6"/>
        <v>0.2307692308</v>
      </c>
      <c r="J32" s="25">
        <f t="shared" si="7"/>
        <v>973.2715385</v>
      </c>
      <c r="K32" s="25"/>
      <c r="L32" s="25">
        <f t="shared" si="12"/>
        <v>64</v>
      </c>
      <c r="M32" s="26">
        <f t="shared" ref="M32:N32" si="40">M31</f>
        <v>273</v>
      </c>
      <c r="N32" s="27">
        <f t="shared" si="40"/>
        <v>4217.51</v>
      </c>
      <c r="O32" s="24">
        <f t="shared" si="9"/>
        <v>1066.88</v>
      </c>
      <c r="P32" s="9"/>
      <c r="Q32" s="20">
        <f t="shared" si="3"/>
        <v>16.67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1">
        <v>31.0</v>
      </c>
      <c r="B33" s="22">
        <v>44404.0</v>
      </c>
      <c r="C33" s="21"/>
      <c r="D33" s="25">
        <f t="shared" si="10"/>
        <v>72</v>
      </c>
      <c r="E33" s="23">
        <f t="shared" si="4"/>
        <v>0.2637362637</v>
      </c>
      <c r="F33" s="24">
        <f t="shared" si="5"/>
        <v>1112.31033</v>
      </c>
      <c r="G33" s="21"/>
      <c r="H33" s="25">
        <f t="shared" si="11"/>
        <v>63</v>
      </c>
      <c r="I33" s="23">
        <f t="shared" si="6"/>
        <v>0.2307692308</v>
      </c>
      <c r="J33" s="25">
        <f t="shared" si="7"/>
        <v>973.2715385</v>
      </c>
      <c r="K33" s="25"/>
      <c r="L33" s="25">
        <f t="shared" si="12"/>
        <v>64</v>
      </c>
      <c r="M33" s="26">
        <f t="shared" ref="M33:N33" si="41">M32</f>
        <v>273</v>
      </c>
      <c r="N33" s="27">
        <f t="shared" si="41"/>
        <v>4217.51</v>
      </c>
      <c r="O33" s="24">
        <f t="shared" si="9"/>
        <v>1066.88</v>
      </c>
      <c r="P33" s="9"/>
      <c r="Q33" s="20">
        <f t="shared" si="3"/>
        <v>16.67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21">
        <v>32.0</v>
      </c>
      <c r="B34" s="22">
        <v>44405.0</v>
      </c>
      <c r="C34" s="25"/>
      <c r="D34" s="25">
        <f t="shared" si="10"/>
        <v>72</v>
      </c>
      <c r="E34" s="23">
        <f t="shared" si="4"/>
        <v>0.2637362637</v>
      </c>
      <c r="F34" s="24">
        <f t="shared" si="5"/>
        <v>1112.31033</v>
      </c>
      <c r="G34" s="21"/>
      <c r="H34" s="25">
        <f t="shared" si="11"/>
        <v>63</v>
      </c>
      <c r="I34" s="23">
        <f t="shared" si="6"/>
        <v>0.2307692308</v>
      </c>
      <c r="J34" s="25">
        <f t="shared" si="7"/>
        <v>973.2715385</v>
      </c>
      <c r="K34" s="25"/>
      <c r="L34" s="25">
        <f t="shared" si="12"/>
        <v>64</v>
      </c>
      <c r="M34" s="26">
        <f t="shared" ref="M34:N34" si="42">M33</f>
        <v>273</v>
      </c>
      <c r="N34" s="27">
        <f t="shared" si="42"/>
        <v>4217.51</v>
      </c>
      <c r="O34" s="24">
        <f t="shared" si="9"/>
        <v>1066.88</v>
      </c>
      <c r="P34" s="9"/>
      <c r="Q34" s="20">
        <f t="shared" si="3"/>
        <v>16.67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21">
        <v>33.0</v>
      </c>
      <c r="B35" s="22">
        <v>44406.0</v>
      </c>
      <c r="C35" s="25"/>
      <c r="D35" s="25">
        <f t="shared" si="10"/>
        <v>72</v>
      </c>
      <c r="E35" s="23">
        <f t="shared" si="4"/>
        <v>0.2637362637</v>
      </c>
      <c r="F35" s="24">
        <f t="shared" si="5"/>
        <v>1112.31033</v>
      </c>
      <c r="G35" s="21"/>
      <c r="H35" s="25">
        <f t="shared" si="11"/>
        <v>63</v>
      </c>
      <c r="I35" s="23">
        <f t="shared" si="6"/>
        <v>0.2307692308</v>
      </c>
      <c r="J35" s="25">
        <f t="shared" si="7"/>
        <v>973.2715385</v>
      </c>
      <c r="K35" s="25"/>
      <c r="L35" s="25">
        <f t="shared" si="12"/>
        <v>64</v>
      </c>
      <c r="M35" s="26">
        <f t="shared" ref="M35:N35" si="43">M34</f>
        <v>273</v>
      </c>
      <c r="N35" s="27">
        <f t="shared" si="43"/>
        <v>4217.51</v>
      </c>
      <c r="O35" s="24">
        <f t="shared" si="9"/>
        <v>1066.88</v>
      </c>
      <c r="P35" s="9"/>
      <c r="Q35" s="20">
        <f t="shared" si="3"/>
        <v>16.67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21">
        <v>34.0</v>
      </c>
      <c r="B36" s="22">
        <v>44407.0</v>
      </c>
      <c r="C36" s="21">
        <v>22.0</v>
      </c>
      <c r="D36" s="25">
        <f t="shared" si="10"/>
        <v>94</v>
      </c>
      <c r="E36" s="23">
        <f t="shared" si="4"/>
        <v>0.3443223443</v>
      </c>
      <c r="F36" s="24">
        <f t="shared" si="5"/>
        <v>1452.18293</v>
      </c>
      <c r="G36" s="21"/>
      <c r="H36" s="25">
        <f t="shared" si="11"/>
        <v>63</v>
      </c>
      <c r="I36" s="23">
        <f t="shared" si="6"/>
        <v>0.2307692308</v>
      </c>
      <c r="J36" s="25">
        <f t="shared" si="7"/>
        <v>973.2715385</v>
      </c>
      <c r="K36" s="25"/>
      <c r="L36" s="25">
        <f t="shared" si="12"/>
        <v>64</v>
      </c>
      <c r="M36" s="26">
        <f t="shared" ref="M36:N36" si="44">M35</f>
        <v>273</v>
      </c>
      <c r="N36" s="27">
        <f t="shared" si="44"/>
        <v>4217.51</v>
      </c>
      <c r="O36" s="24">
        <f t="shared" si="9"/>
        <v>1066.88</v>
      </c>
      <c r="P36" s="9"/>
      <c r="Q36" s="20">
        <f t="shared" si="3"/>
        <v>16.67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1">
        <v>35.0</v>
      </c>
      <c r="B37" s="22">
        <v>44408.0</v>
      </c>
      <c r="C37" s="21">
        <v>7.0</v>
      </c>
      <c r="D37" s="25">
        <f t="shared" si="10"/>
        <v>101</v>
      </c>
      <c r="E37" s="23">
        <f t="shared" si="4"/>
        <v>0.36996337</v>
      </c>
      <c r="F37" s="24">
        <f t="shared" si="5"/>
        <v>1560.324212</v>
      </c>
      <c r="G37" s="21"/>
      <c r="H37" s="25">
        <f t="shared" si="11"/>
        <v>63</v>
      </c>
      <c r="I37" s="23">
        <f t="shared" si="6"/>
        <v>0.2307692308</v>
      </c>
      <c r="J37" s="25">
        <f t="shared" si="7"/>
        <v>973.2715385</v>
      </c>
      <c r="K37" s="25"/>
      <c r="L37" s="25">
        <f t="shared" si="12"/>
        <v>64</v>
      </c>
      <c r="M37" s="26">
        <f t="shared" ref="M37:N37" si="45">M36</f>
        <v>273</v>
      </c>
      <c r="N37" s="27">
        <f t="shared" si="45"/>
        <v>4217.51</v>
      </c>
      <c r="O37" s="24">
        <f t="shared" si="9"/>
        <v>1066.88</v>
      </c>
      <c r="P37" s="9"/>
      <c r="Q37" s="20">
        <f t="shared" si="3"/>
        <v>16.67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21">
        <v>36.0</v>
      </c>
      <c r="B38" s="22">
        <v>44409.0</v>
      </c>
      <c r="C38" s="21">
        <v>16.0</v>
      </c>
      <c r="D38" s="25">
        <f t="shared" si="10"/>
        <v>117</v>
      </c>
      <c r="E38" s="23">
        <f t="shared" si="4"/>
        <v>0.4285714286</v>
      </c>
      <c r="F38" s="24">
        <f t="shared" si="5"/>
        <v>1807.504286</v>
      </c>
      <c r="G38" s="21"/>
      <c r="H38" s="25">
        <f t="shared" si="11"/>
        <v>63</v>
      </c>
      <c r="I38" s="23">
        <f t="shared" si="6"/>
        <v>0.2307692308</v>
      </c>
      <c r="J38" s="25">
        <f t="shared" si="7"/>
        <v>973.2715385</v>
      </c>
      <c r="K38" s="25"/>
      <c r="L38" s="25">
        <f t="shared" si="12"/>
        <v>64</v>
      </c>
      <c r="M38" s="26">
        <f t="shared" ref="M38:N38" si="46">M37</f>
        <v>273</v>
      </c>
      <c r="N38" s="27">
        <f t="shared" si="46"/>
        <v>4217.51</v>
      </c>
      <c r="O38" s="24">
        <f t="shared" si="9"/>
        <v>1066.88</v>
      </c>
      <c r="P38" s="9"/>
      <c r="Q38" s="20">
        <f t="shared" si="3"/>
        <v>16.67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21">
        <v>37.0</v>
      </c>
      <c r="B39" s="22">
        <v>44410.0</v>
      </c>
      <c r="C39" s="21"/>
      <c r="D39" s="25">
        <f t="shared" si="10"/>
        <v>117</v>
      </c>
      <c r="E39" s="23">
        <f t="shared" si="4"/>
        <v>0.4285714286</v>
      </c>
      <c r="F39" s="24">
        <f t="shared" si="5"/>
        <v>1807.504286</v>
      </c>
      <c r="G39" s="21"/>
      <c r="H39" s="25">
        <f t="shared" si="11"/>
        <v>63</v>
      </c>
      <c r="I39" s="23">
        <f t="shared" si="6"/>
        <v>0.2307692308</v>
      </c>
      <c r="J39" s="25">
        <f t="shared" si="7"/>
        <v>973.2715385</v>
      </c>
      <c r="K39" s="25"/>
      <c r="L39" s="25">
        <f t="shared" si="12"/>
        <v>64</v>
      </c>
      <c r="M39" s="26">
        <f t="shared" ref="M39:N39" si="47">M38</f>
        <v>273</v>
      </c>
      <c r="N39" s="27">
        <f t="shared" si="47"/>
        <v>4217.51</v>
      </c>
      <c r="O39" s="24">
        <f t="shared" si="9"/>
        <v>1066.88</v>
      </c>
      <c r="P39" s="9"/>
      <c r="Q39" s="20">
        <f t="shared" si="3"/>
        <v>16.67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1">
        <v>38.0</v>
      </c>
      <c r="B40" s="22">
        <v>44411.0</v>
      </c>
      <c r="C40" s="25"/>
      <c r="D40" s="25">
        <f t="shared" si="10"/>
        <v>117</v>
      </c>
      <c r="E40" s="23">
        <f t="shared" si="4"/>
        <v>0.4285714286</v>
      </c>
      <c r="F40" s="24">
        <f t="shared" si="5"/>
        <v>1807.504286</v>
      </c>
      <c r="G40" s="21"/>
      <c r="H40" s="25">
        <f t="shared" si="11"/>
        <v>63</v>
      </c>
      <c r="I40" s="23">
        <f t="shared" si="6"/>
        <v>0.2307692308</v>
      </c>
      <c r="J40" s="25">
        <f t="shared" si="7"/>
        <v>973.2715385</v>
      </c>
      <c r="K40" s="21">
        <v>10.0</v>
      </c>
      <c r="L40" s="25">
        <f t="shared" si="12"/>
        <v>74</v>
      </c>
      <c r="M40" s="26">
        <f t="shared" ref="M40:N40" si="48">M39</f>
        <v>273</v>
      </c>
      <c r="N40" s="27">
        <f t="shared" si="48"/>
        <v>4217.51</v>
      </c>
      <c r="O40" s="24">
        <f t="shared" si="9"/>
        <v>1233.58</v>
      </c>
      <c r="P40" s="9"/>
      <c r="Q40" s="20">
        <f t="shared" si="3"/>
        <v>16.67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21">
        <v>39.0</v>
      </c>
      <c r="B41" s="22">
        <v>44412.0</v>
      </c>
      <c r="C41" s="25"/>
      <c r="D41" s="25">
        <f t="shared" si="10"/>
        <v>117</v>
      </c>
      <c r="E41" s="23">
        <f t="shared" si="4"/>
        <v>0.4285714286</v>
      </c>
      <c r="F41" s="24">
        <f t="shared" si="5"/>
        <v>1807.504286</v>
      </c>
      <c r="G41" s="21">
        <v>7.0</v>
      </c>
      <c r="H41" s="25">
        <f t="shared" si="11"/>
        <v>70</v>
      </c>
      <c r="I41" s="23">
        <f t="shared" si="6"/>
        <v>0.2564102564</v>
      </c>
      <c r="J41" s="25">
        <f t="shared" si="7"/>
        <v>1081.412821</v>
      </c>
      <c r="K41" s="25"/>
      <c r="L41" s="25">
        <f t="shared" si="12"/>
        <v>74</v>
      </c>
      <c r="M41" s="26">
        <f t="shared" ref="M41:N41" si="49">M40</f>
        <v>273</v>
      </c>
      <c r="N41" s="27">
        <f t="shared" si="49"/>
        <v>4217.51</v>
      </c>
      <c r="O41" s="24">
        <f t="shared" si="9"/>
        <v>1233.58</v>
      </c>
      <c r="P41" s="9"/>
      <c r="Q41" s="20">
        <f t="shared" si="3"/>
        <v>16.67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21">
        <v>40.0</v>
      </c>
      <c r="B42" s="22">
        <v>44413.0</v>
      </c>
      <c r="C42" s="21">
        <v>8.0</v>
      </c>
      <c r="D42" s="25">
        <f t="shared" si="10"/>
        <v>125</v>
      </c>
      <c r="E42" s="23">
        <f t="shared" si="4"/>
        <v>0.4578754579</v>
      </c>
      <c r="F42" s="24">
        <f t="shared" si="5"/>
        <v>1931.094322</v>
      </c>
      <c r="G42" s="21"/>
      <c r="H42" s="25">
        <f t="shared" si="11"/>
        <v>70</v>
      </c>
      <c r="I42" s="23">
        <f t="shared" si="6"/>
        <v>0.2564102564</v>
      </c>
      <c r="J42" s="25">
        <f t="shared" si="7"/>
        <v>1081.412821</v>
      </c>
      <c r="K42" s="25"/>
      <c r="L42" s="25">
        <f t="shared" si="12"/>
        <v>74</v>
      </c>
      <c r="M42" s="26">
        <f t="shared" ref="M42:N42" si="50">M41</f>
        <v>273</v>
      </c>
      <c r="N42" s="27">
        <f t="shared" si="50"/>
        <v>4217.51</v>
      </c>
      <c r="O42" s="24">
        <f t="shared" si="9"/>
        <v>1233.58</v>
      </c>
      <c r="P42" s="9"/>
      <c r="Q42" s="20">
        <f t="shared" si="3"/>
        <v>16.67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21">
        <v>41.0</v>
      </c>
      <c r="B43" s="22">
        <v>44414.0</v>
      </c>
      <c r="C43" s="21"/>
      <c r="D43" s="25">
        <f t="shared" si="10"/>
        <v>125</v>
      </c>
      <c r="E43" s="23">
        <f t="shared" si="4"/>
        <v>0.4578754579</v>
      </c>
      <c r="F43" s="24">
        <f t="shared" si="5"/>
        <v>1931.094322</v>
      </c>
      <c r="G43" s="21">
        <v>11.0</v>
      </c>
      <c r="H43" s="25">
        <f t="shared" si="11"/>
        <v>81</v>
      </c>
      <c r="I43" s="23">
        <f t="shared" si="6"/>
        <v>0.2967032967</v>
      </c>
      <c r="J43" s="25">
        <f t="shared" si="7"/>
        <v>1251.349121</v>
      </c>
      <c r="K43" s="21">
        <v>14.0</v>
      </c>
      <c r="L43" s="25">
        <f t="shared" si="12"/>
        <v>88</v>
      </c>
      <c r="M43" s="26">
        <f t="shared" ref="M43:N43" si="51">M42</f>
        <v>273</v>
      </c>
      <c r="N43" s="27">
        <f t="shared" si="51"/>
        <v>4217.51</v>
      </c>
      <c r="O43" s="24">
        <f t="shared" si="9"/>
        <v>1466.96</v>
      </c>
      <c r="P43" s="9"/>
      <c r="Q43" s="20">
        <f t="shared" si="3"/>
        <v>16.67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21">
        <v>42.0</v>
      </c>
      <c r="B44" s="22">
        <v>44415.0</v>
      </c>
      <c r="C44" s="21">
        <v>6.0</v>
      </c>
      <c r="D44" s="25">
        <f t="shared" si="10"/>
        <v>131</v>
      </c>
      <c r="E44" s="23">
        <f t="shared" si="4"/>
        <v>0.4798534799</v>
      </c>
      <c r="F44" s="24">
        <f t="shared" si="5"/>
        <v>2023.78685</v>
      </c>
      <c r="G44" s="21"/>
      <c r="H44" s="25">
        <f t="shared" si="11"/>
        <v>81</v>
      </c>
      <c r="I44" s="23">
        <f t="shared" si="6"/>
        <v>0.2967032967</v>
      </c>
      <c r="J44" s="25">
        <f t="shared" si="7"/>
        <v>1251.349121</v>
      </c>
      <c r="K44" s="25"/>
      <c r="L44" s="25">
        <f t="shared" si="12"/>
        <v>88</v>
      </c>
      <c r="M44" s="26">
        <f t="shared" ref="M44:N44" si="52">M43</f>
        <v>273</v>
      </c>
      <c r="N44" s="27">
        <f t="shared" si="52"/>
        <v>4217.51</v>
      </c>
      <c r="O44" s="24">
        <f t="shared" si="9"/>
        <v>1466.96</v>
      </c>
      <c r="P44" s="9"/>
      <c r="Q44" s="20">
        <f t="shared" si="3"/>
        <v>16.67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21">
        <v>43.0</v>
      </c>
      <c r="B45" s="22">
        <v>44416.0</v>
      </c>
      <c r="C45" s="21">
        <v>24.0</v>
      </c>
      <c r="D45" s="25">
        <f t="shared" si="10"/>
        <v>155</v>
      </c>
      <c r="E45" s="23">
        <f t="shared" si="4"/>
        <v>0.5677655678</v>
      </c>
      <c r="F45" s="24">
        <f t="shared" si="5"/>
        <v>2394.55696</v>
      </c>
      <c r="G45" s="21"/>
      <c r="H45" s="25">
        <f t="shared" si="11"/>
        <v>81</v>
      </c>
      <c r="I45" s="23">
        <f t="shared" si="6"/>
        <v>0.2967032967</v>
      </c>
      <c r="J45" s="25">
        <f t="shared" si="7"/>
        <v>1251.349121</v>
      </c>
      <c r="K45" s="25"/>
      <c r="L45" s="25">
        <f t="shared" si="12"/>
        <v>88</v>
      </c>
      <c r="M45" s="26">
        <f t="shared" ref="M45:N45" si="53">M44</f>
        <v>273</v>
      </c>
      <c r="N45" s="27">
        <f t="shared" si="53"/>
        <v>4217.51</v>
      </c>
      <c r="O45" s="24">
        <f t="shared" si="9"/>
        <v>1466.96</v>
      </c>
      <c r="P45" s="9"/>
      <c r="Q45" s="20">
        <f t="shared" si="3"/>
        <v>16.67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21">
        <v>44.0</v>
      </c>
      <c r="B46" s="22">
        <v>44417.0</v>
      </c>
      <c r="C46" s="25"/>
      <c r="D46" s="25">
        <f t="shared" si="10"/>
        <v>155</v>
      </c>
      <c r="E46" s="23">
        <f t="shared" si="4"/>
        <v>0.5677655678</v>
      </c>
      <c r="F46" s="24">
        <f t="shared" si="5"/>
        <v>2394.55696</v>
      </c>
      <c r="G46" s="21"/>
      <c r="H46" s="25">
        <f t="shared" si="11"/>
        <v>81</v>
      </c>
      <c r="I46" s="23">
        <f t="shared" si="6"/>
        <v>0.2967032967</v>
      </c>
      <c r="J46" s="25">
        <f t="shared" si="7"/>
        <v>1251.349121</v>
      </c>
      <c r="K46" s="25"/>
      <c r="L46" s="25">
        <f t="shared" si="12"/>
        <v>88</v>
      </c>
      <c r="M46" s="26">
        <f t="shared" ref="M46:N46" si="54">M45</f>
        <v>273</v>
      </c>
      <c r="N46" s="27">
        <f t="shared" si="54"/>
        <v>4217.51</v>
      </c>
      <c r="O46" s="24">
        <f t="shared" si="9"/>
        <v>1466.96</v>
      </c>
      <c r="P46" s="9"/>
      <c r="Q46" s="20">
        <f t="shared" si="3"/>
        <v>16.67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21">
        <v>45.0</v>
      </c>
      <c r="B47" s="22">
        <v>44418.0</v>
      </c>
      <c r="C47" s="25"/>
      <c r="D47" s="25">
        <f t="shared" si="10"/>
        <v>155</v>
      </c>
      <c r="E47" s="23">
        <f t="shared" si="4"/>
        <v>0.5677655678</v>
      </c>
      <c r="F47" s="24">
        <f t="shared" si="5"/>
        <v>2394.55696</v>
      </c>
      <c r="G47" s="21"/>
      <c r="H47" s="25">
        <f t="shared" si="11"/>
        <v>81</v>
      </c>
      <c r="I47" s="23">
        <f t="shared" si="6"/>
        <v>0.2967032967</v>
      </c>
      <c r="J47" s="25">
        <f t="shared" si="7"/>
        <v>1251.349121</v>
      </c>
      <c r="K47" s="25"/>
      <c r="L47" s="25">
        <f t="shared" si="12"/>
        <v>88</v>
      </c>
      <c r="M47" s="26">
        <f t="shared" ref="M47:N47" si="55">M46</f>
        <v>273</v>
      </c>
      <c r="N47" s="27">
        <f t="shared" si="55"/>
        <v>4217.51</v>
      </c>
      <c r="O47" s="24">
        <f t="shared" si="9"/>
        <v>1466.96</v>
      </c>
      <c r="P47" s="9"/>
      <c r="Q47" s="20">
        <f t="shared" si="3"/>
        <v>16.67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1">
        <v>46.0</v>
      </c>
      <c r="B48" s="22">
        <v>44419.0</v>
      </c>
      <c r="C48" s="25"/>
      <c r="D48" s="25">
        <f t="shared" si="10"/>
        <v>155</v>
      </c>
      <c r="E48" s="23">
        <f t="shared" si="4"/>
        <v>0.5677655678</v>
      </c>
      <c r="F48" s="24">
        <f t="shared" si="5"/>
        <v>2394.55696</v>
      </c>
      <c r="G48" s="21">
        <v>41.0</v>
      </c>
      <c r="H48" s="25">
        <f t="shared" si="11"/>
        <v>122</v>
      </c>
      <c r="I48" s="23">
        <f t="shared" si="6"/>
        <v>0.4468864469</v>
      </c>
      <c r="J48" s="25">
        <f t="shared" si="7"/>
        <v>1884.748059</v>
      </c>
      <c r="K48" s="21">
        <v>36.0</v>
      </c>
      <c r="L48" s="25">
        <f t="shared" si="12"/>
        <v>124</v>
      </c>
      <c r="M48" s="26">
        <f t="shared" ref="M48:N48" si="56">M47</f>
        <v>273</v>
      </c>
      <c r="N48" s="27">
        <f t="shared" si="56"/>
        <v>4217.51</v>
      </c>
      <c r="O48" s="24">
        <f t="shared" si="9"/>
        <v>2067.08</v>
      </c>
      <c r="P48" s="9"/>
      <c r="Q48" s="20">
        <f t="shared" si="3"/>
        <v>16.67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21">
        <v>47.0</v>
      </c>
      <c r="B49" s="22">
        <v>44420.0</v>
      </c>
      <c r="C49" s="9">
        <v>8.0</v>
      </c>
      <c r="D49" s="25">
        <f t="shared" si="10"/>
        <v>163</v>
      </c>
      <c r="E49" s="23">
        <f t="shared" si="4"/>
        <v>0.5970695971</v>
      </c>
      <c r="F49" s="24">
        <f t="shared" si="5"/>
        <v>2518.146996</v>
      </c>
      <c r="G49" s="21"/>
      <c r="H49" s="25">
        <f t="shared" si="11"/>
        <v>122</v>
      </c>
      <c r="I49" s="23">
        <f t="shared" si="6"/>
        <v>0.4468864469</v>
      </c>
      <c r="J49" s="25">
        <f t="shared" si="7"/>
        <v>1884.748059</v>
      </c>
      <c r="K49" s="25"/>
      <c r="L49" s="25">
        <f t="shared" si="12"/>
        <v>124</v>
      </c>
      <c r="M49" s="26">
        <f t="shared" ref="M49:N49" si="57">M48</f>
        <v>273</v>
      </c>
      <c r="N49" s="27">
        <f t="shared" si="57"/>
        <v>4217.51</v>
      </c>
      <c r="O49" s="24">
        <f t="shared" si="9"/>
        <v>2067.08</v>
      </c>
      <c r="P49" s="9"/>
      <c r="Q49" s="20">
        <f t="shared" si="3"/>
        <v>16.67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21">
        <v>48.0</v>
      </c>
      <c r="B50" s="22">
        <v>44421.0</v>
      </c>
      <c r="C50" s="9">
        <v>23.0</v>
      </c>
      <c r="D50" s="25">
        <f t="shared" si="10"/>
        <v>186</v>
      </c>
      <c r="E50" s="23">
        <f t="shared" si="4"/>
        <v>0.6813186813</v>
      </c>
      <c r="F50" s="24">
        <f t="shared" si="5"/>
        <v>2873.468352</v>
      </c>
      <c r="G50" s="21"/>
      <c r="H50" s="25">
        <f t="shared" si="11"/>
        <v>122</v>
      </c>
      <c r="I50" s="23">
        <f t="shared" si="6"/>
        <v>0.4468864469</v>
      </c>
      <c r="J50" s="25">
        <f t="shared" si="7"/>
        <v>1884.748059</v>
      </c>
      <c r="K50" s="25"/>
      <c r="L50" s="25">
        <f t="shared" si="12"/>
        <v>124</v>
      </c>
      <c r="M50" s="26">
        <f t="shared" ref="M50:N50" si="58">M49</f>
        <v>273</v>
      </c>
      <c r="N50" s="27">
        <f t="shared" si="58"/>
        <v>4217.51</v>
      </c>
      <c r="O50" s="24">
        <f t="shared" si="9"/>
        <v>2067.08</v>
      </c>
      <c r="P50" s="9"/>
      <c r="Q50" s="20">
        <f t="shared" si="3"/>
        <v>16.67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21">
        <v>49.0</v>
      </c>
      <c r="B51" s="22">
        <v>44422.0</v>
      </c>
      <c r="C51" s="9">
        <v>13.0</v>
      </c>
      <c r="D51" s="25">
        <f t="shared" si="10"/>
        <v>199</v>
      </c>
      <c r="E51" s="23">
        <f t="shared" si="4"/>
        <v>0.7289377289</v>
      </c>
      <c r="F51" s="24">
        <f t="shared" si="5"/>
        <v>3074.302161</v>
      </c>
      <c r="G51" s="21"/>
      <c r="H51" s="25">
        <f t="shared" si="11"/>
        <v>122</v>
      </c>
      <c r="I51" s="23">
        <f t="shared" si="6"/>
        <v>0.4468864469</v>
      </c>
      <c r="J51" s="25">
        <f t="shared" si="7"/>
        <v>1884.748059</v>
      </c>
      <c r="K51" s="25"/>
      <c r="L51" s="25">
        <f t="shared" si="12"/>
        <v>124</v>
      </c>
      <c r="M51" s="26">
        <f t="shared" ref="M51:N51" si="59">M50</f>
        <v>273</v>
      </c>
      <c r="N51" s="27">
        <f t="shared" si="59"/>
        <v>4217.51</v>
      </c>
      <c r="O51" s="24">
        <f t="shared" si="9"/>
        <v>2067.08</v>
      </c>
      <c r="P51" s="9"/>
      <c r="Q51" s="20">
        <f t="shared" si="3"/>
        <v>16.67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21">
        <v>50.0</v>
      </c>
      <c r="B52" s="22">
        <v>44423.0</v>
      </c>
      <c r="C52" s="21">
        <v>16.0</v>
      </c>
      <c r="D52" s="25">
        <f t="shared" si="10"/>
        <v>215</v>
      </c>
      <c r="E52" s="23">
        <f t="shared" si="4"/>
        <v>0.7875457875</v>
      </c>
      <c r="F52" s="24">
        <f t="shared" si="5"/>
        <v>3321.482234</v>
      </c>
      <c r="G52" s="21"/>
      <c r="H52" s="25">
        <f t="shared" si="11"/>
        <v>122</v>
      </c>
      <c r="I52" s="23">
        <f t="shared" si="6"/>
        <v>0.4468864469</v>
      </c>
      <c r="J52" s="25">
        <f t="shared" si="7"/>
        <v>1884.748059</v>
      </c>
      <c r="K52" s="25"/>
      <c r="L52" s="25">
        <f t="shared" si="12"/>
        <v>124</v>
      </c>
      <c r="M52" s="26">
        <f t="shared" ref="M52:N52" si="60">M51</f>
        <v>273</v>
      </c>
      <c r="N52" s="27">
        <f t="shared" si="60"/>
        <v>4217.51</v>
      </c>
      <c r="O52" s="24">
        <f t="shared" si="9"/>
        <v>2067.08</v>
      </c>
      <c r="P52" s="9"/>
      <c r="Q52" s="20">
        <f t="shared" si="3"/>
        <v>16.67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21">
        <v>51.0</v>
      </c>
      <c r="B53" s="22">
        <v>44424.0</v>
      </c>
      <c r="C53" s="25"/>
      <c r="D53" s="25">
        <f t="shared" si="10"/>
        <v>215</v>
      </c>
      <c r="E53" s="23">
        <f t="shared" si="4"/>
        <v>0.7875457875</v>
      </c>
      <c r="F53" s="24">
        <f t="shared" si="5"/>
        <v>3321.482234</v>
      </c>
      <c r="G53" s="21"/>
      <c r="H53" s="25">
        <f t="shared" si="11"/>
        <v>122</v>
      </c>
      <c r="I53" s="23">
        <f t="shared" si="6"/>
        <v>0.4468864469</v>
      </c>
      <c r="J53" s="25">
        <f t="shared" si="7"/>
        <v>1884.748059</v>
      </c>
      <c r="K53" s="25"/>
      <c r="L53" s="25">
        <f t="shared" si="12"/>
        <v>124</v>
      </c>
      <c r="M53" s="26">
        <f t="shared" ref="M53:N53" si="61">M52</f>
        <v>273</v>
      </c>
      <c r="N53" s="27">
        <f t="shared" si="61"/>
        <v>4217.51</v>
      </c>
      <c r="O53" s="24">
        <f t="shared" si="9"/>
        <v>2067.08</v>
      </c>
      <c r="P53" s="9"/>
      <c r="Q53" s="20">
        <f t="shared" si="3"/>
        <v>16.67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21">
        <v>52.0</v>
      </c>
      <c r="B54" s="22">
        <v>44425.0</v>
      </c>
      <c r="C54" s="25"/>
      <c r="D54" s="25">
        <f t="shared" si="10"/>
        <v>215</v>
      </c>
      <c r="E54" s="23">
        <f t="shared" si="4"/>
        <v>0.7875457875</v>
      </c>
      <c r="F54" s="24">
        <f t="shared" si="5"/>
        <v>3321.482234</v>
      </c>
      <c r="G54" s="21"/>
      <c r="H54" s="25">
        <f t="shared" si="11"/>
        <v>122</v>
      </c>
      <c r="I54" s="23">
        <f t="shared" si="6"/>
        <v>0.4468864469</v>
      </c>
      <c r="J54" s="25">
        <f t="shared" si="7"/>
        <v>1884.748059</v>
      </c>
      <c r="K54" s="25"/>
      <c r="L54" s="25">
        <f t="shared" si="12"/>
        <v>124</v>
      </c>
      <c r="M54" s="26">
        <f t="shared" ref="M54:N54" si="62">M53</f>
        <v>273</v>
      </c>
      <c r="N54" s="27">
        <f t="shared" si="62"/>
        <v>4217.51</v>
      </c>
      <c r="O54" s="24">
        <f t="shared" si="9"/>
        <v>2067.08</v>
      </c>
      <c r="P54" s="9"/>
      <c r="Q54" s="20">
        <f t="shared" si="3"/>
        <v>16.67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21">
        <v>53.0</v>
      </c>
      <c r="B55" s="22">
        <v>44426.0</v>
      </c>
      <c r="C55" s="25"/>
      <c r="D55" s="25">
        <f t="shared" si="10"/>
        <v>215</v>
      </c>
      <c r="E55" s="23">
        <f t="shared" si="4"/>
        <v>0.7875457875</v>
      </c>
      <c r="F55" s="24">
        <f t="shared" si="5"/>
        <v>3321.482234</v>
      </c>
      <c r="G55" s="21"/>
      <c r="H55" s="25">
        <f t="shared" si="11"/>
        <v>122</v>
      </c>
      <c r="I55" s="23">
        <f t="shared" si="6"/>
        <v>0.4468864469</v>
      </c>
      <c r="J55" s="25">
        <f t="shared" si="7"/>
        <v>1884.748059</v>
      </c>
      <c r="K55" s="25"/>
      <c r="L55" s="25">
        <f t="shared" si="12"/>
        <v>124</v>
      </c>
      <c r="M55" s="26">
        <f t="shared" ref="M55:N55" si="63">M54</f>
        <v>273</v>
      </c>
      <c r="N55" s="27">
        <f t="shared" si="63"/>
        <v>4217.51</v>
      </c>
      <c r="O55" s="24">
        <f t="shared" si="9"/>
        <v>2067.08</v>
      </c>
      <c r="P55" s="9"/>
      <c r="Q55" s="20">
        <f t="shared" si="3"/>
        <v>16.67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21">
        <v>54.0</v>
      </c>
      <c r="B56" s="22">
        <v>44427.0</v>
      </c>
      <c r="C56" s="21">
        <v>14.0</v>
      </c>
      <c r="D56" s="25">
        <f t="shared" si="10"/>
        <v>229</v>
      </c>
      <c r="E56" s="23">
        <f t="shared" si="4"/>
        <v>0.8388278388</v>
      </c>
      <c r="F56" s="24">
        <f t="shared" si="5"/>
        <v>3537.764799</v>
      </c>
      <c r="G56" s="21"/>
      <c r="H56" s="25">
        <f t="shared" si="11"/>
        <v>122</v>
      </c>
      <c r="I56" s="23">
        <f t="shared" si="6"/>
        <v>0.4468864469</v>
      </c>
      <c r="J56" s="25">
        <f t="shared" si="7"/>
        <v>1884.748059</v>
      </c>
      <c r="K56" s="25"/>
      <c r="L56" s="25">
        <f t="shared" si="12"/>
        <v>124</v>
      </c>
      <c r="M56" s="26">
        <f t="shared" ref="M56:N56" si="64">M55</f>
        <v>273</v>
      </c>
      <c r="N56" s="27">
        <f t="shared" si="64"/>
        <v>4217.51</v>
      </c>
      <c r="O56" s="24">
        <f t="shared" si="9"/>
        <v>2067.08</v>
      </c>
      <c r="P56" s="9"/>
      <c r="Q56" s="20">
        <f t="shared" si="3"/>
        <v>16.67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21">
        <v>55.0</v>
      </c>
      <c r="B57" s="22">
        <v>44428.0</v>
      </c>
      <c r="C57" s="25"/>
      <c r="D57" s="25">
        <f t="shared" si="10"/>
        <v>229</v>
      </c>
      <c r="E57" s="23">
        <f t="shared" si="4"/>
        <v>0.8388278388</v>
      </c>
      <c r="F57" s="24">
        <f t="shared" si="5"/>
        <v>3537.764799</v>
      </c>
      <c r="G57" s="21"/>
      <c r="H57" s="25">
        <f t="shared" si="11"/>
        <v>122</v>
      </c>
      <c r="I57" s="23">
        <f t="shared" si="6"/>
        <v>0.4468864469</v>
      </c>
      <c r="J57" s="25">
        <f t="shared" si="7"/>
        <v>1884.748059</v>
      </c>
      <c r="K57" s="25"/>
      <c r="L57" s="25">
        <f t="shared" si="12"/>
        <v>124</v>
      </c>
      <c r="M57" s="26">
        <f t="shared" ref="M57:N57" si="65">M56</f>
        <v>273</v>
      </c>
      <c r="N57" s="27">
        <f t="shared" si="65"/>
        <v>4217.51</v>
      </c>
      <c r="O57" s="24">
        <f t="shared" si="9"/>
        <v>2067.08</v>
      </c>
      <c r="P57" s="9"/>
      <c r="Q57" s="20">
        <f t="shared" si="3"/>
        <v>16.67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21">
        <v>56.0</v>
      </c>
      <c r="B58" s="22">
        <v>44429.0</v>
      </c>
      <c r="C58" s="25"/>
      <c r="D58" s="25">
        <f t="shared" si="10"/>
        <v>229</v>
      </c>
      <c r="E58" s="23">
        <f t="shared" si="4"/>
        <v>0.8388278388</v>
      </c>
      <c r="F58" s="24">
        <f t="shared" si="5"/>
        <v>3537.764799</v>
      </c>
      <c r="G58" s="21"/>
      <c r="H58" s="25">
        <f t="shared" si="11"/>
        <v>122</v>
      </c>
      <c r="I58" s="23">
        <f t="shared" si="6"/>
        <v>0.4468864469</v>
      </c>
      <c r="J58" s="25">
        <f t="shared" si="7"/>
        <v>1884.748059</v>
      </c>
      <c r="K58" s="25"/>
      <c r="L58" s="25">
        <f t="shared" si="12"/>
        <v>124</v>
      </c>
      <c r="M58" s="26">
        <f t="shared" ref="M58:N58" si="66">M57</f>
        <v>273</v>
      </c>
      <c r="N58" s="27">
        <f t="shared" si="66"/>
        <v>4217.51</v>
      </c>
      <c r="O58" s="24">
        <f t="shared" si="9"/>
        <v>2067.08</v>
      </c>
      <c r="P58" s="9"/>
      <c r="Q58" s="20">
        <f t="shared" si="3"/>
        <v>16.67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21">
        <v>57.0</v>
      </c>
      <c r="B59" s="22">
        <v>44430.0</v>
      </c>
      <c r="C59" s="25"/>
      <c r="D59" s="25">
        <f t="shared" si="10"/>
        <v>229</v>
      </c>
      <c r="E59" s="23">
        <f t="shared" si="4"/>
        <v>0.8388278388</v>
      </c>
      <c r="F59" s="24">
        <f t="shared" si="5"/>
        <v>3537.764799</v>
      </c>
      <c r="G59" s="21"/>
      <c r="H59" s="25">
        <f t="shared" si="11"/>
        <v>122</v>
      </c>
      <c r="I59" s="23">
        <f t="shared" si="6"/>
        <v>0.4468864469</v>
      </c>
      <c r="J59" s="25">
        <f t="shared" si="7"/>
        <v>1884.748059</v>
      </c>
      <c r="K59" s="25"/>
      <c r="L59" s="25">
        <f t="shared" si="12"/>
        <v>124</v>
      </c>
      <c r="M59" s="26">
        <f t="shared" ref="M59:N59" si="67">M58</f>
        <v>273</v>
      </c>
      <c r="N59" s="27">
        <f t="shared" si="67"/>
        <v>4217.51</v>
      </c>
      <c r="O59" s="24">
        <f t="shared" si="9"/>
        <v>2067.08</v>
      </c>
      <c r="P59" s="9"/>
      <c r="Q59" s="20">
        <f t="shared" si="3"/>
        <v>16.67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21">
        <v>58.0</v>
      </c>
      <c r="B60" s="22">
        <v>44431.0</v>
      </c>
      <c r="C60" s="25"/>
      <c r="D60" s="25">
        <f t="shared" si="10"/>
        <v>229</v>
      </c>
      <c r="E60" s="23">
        <f t="shared" si="4"/>
        <v>0.8388278388</v>
      </c>
      <c r="F60" s="24">
        <f t="shared" si="5"/>
        <v>3537.764799</v>
      </c>
      <c r="G60" s="21"/>
      <c r="H60" s="25">
        <f t="shared" si="11"/>
        <v>122</v>
      </c>
      <c r="I60" s="23">
        <f t="shared" si="6"/>
        <v>0.4468864469</v>
      </c>
      <c r="J60" s="25">
        <f t="shared" si="7"/>
        <v>1884.748059</v>
      </c>
      <c r="K60" s="25"/>
      <c r="L60" s="25">
        <f t="shared" si="12"/>
        <v>124</v>
      </c>
      <c r="M60" s="26">
        <f t="shared" ref="M60:N60" si="68">M59</f>
        <v>273</v>
      </c>
      <c r="N60" s="27">
        <f t="shared" si="68"/>
        <v>4217.51</v>
      </c>
      <c r="O60" s="24">
        <f t="shared" si="9"/>
        <v>2067.08</v>
      </c>
      <c r="P60" s="9"/>
      <c r="Q60" s="20">
        <f t="shared" si="3"/>
        <v>16.67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21">
        <v>59.0</v>
      </c>
      <c r="B61" s="22">
        <v>44432.0</v>
      </c>
      <c r="C61" s="25"/>
      <c r="D61" s="30">
        <f t="shared" si="10"/>
        <v>229</v>
      </c>
      <c r="E61" s="23">
        <f t="shared" si="4"/>
        <v>0.8388278388</v>
      </c>
      <c r="F61" s="24">
        <f t="shared" si="5"/>
        <v>3537.764799</v>
      </c>
      <c r="G61" s="25"/>
      <c r="H61" s="25">
        <f t="shared" si="11"/>
        <v>122</v>
      </c>
      <c r="I61" s="23">
        <f t="shared" si="6"/>
        <v>0.4468864469</v>
      </c>
      <c r="J61" s="25">
        <f t="shared" si="7"/>
        <v>1884.748059</v>
      </c>
      <c r="K61" s="25"/>
      <c r="L61" s="25">
        <f t="shared" si="12"/>
        <v>124</v>
      </c>
      <c r="M61" s="26">
        <f t="shared" ref="M61:N61" si="69">M60</f>
        <v>273</v>
      </c>
      <c r="N61" s="27">
        <f t="shared" si="69"/>
        <v>4217.51</v>
      </c>
      <c r="O61" s="24">
        <f t="shared" si="9"/>
        <v>2067.08</v>
      </c>
      <c r="P61" s="9"/>
      <c r="Q61" s="20">
        <f t="shared" si="3"/>
        <v>16.67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21">
        <v>60.0</v>
      </c>
      <c r="B62" s="22">
        <v>44433.0</v>
      </c>
      <c r="C62" s="31"/>
      <c r="D62" s="30">
        <f t="shared" si="10"/>
        <v>229</v>
      </c>
      <c r="E62" s="23">
        <f t="shared" si="4"/>
        <v>0.8388278388</v>
      </c>
      <c r="F62" s="24">
        <f t="shared" si="5"/>
        <v>3537.764799</v>
      </c>
      <c r="G62" s="25"/>
      <c r="H62" s="25">
        <f t="shared" si="11"/>
        <v>122</v>
      </c>
      <c r="I62" s="23">
        <f t="shared" si="6"/>
        <v>0.4468864469</v>
      </c>
      <c r="J62" s="25">
        <f t="shared" si="7"/>
        <v>1884.748059</v>
      </c>
      <c r="K62" s="25"/>
      <c r="L62" s="25">
        <f t="shared" si="12"/>
        <v>124</v>
      </c>
      <c r="M62" s="26">
        <f t="shared" ref="M62:N62" si="70">M61</f>
        <v>273</v>
      </c>
      <c r="N62" s="27">
        <f t="shared" si="70"/>
        <v>4217.51</v>
      </c>
      <c r="O62" s="24">
        <f t="shared" si="9"/>
        <v>2067.08</v>
      </c>
      <c r="P62" s="9"/>
      <c r="Q62" s="20">
        <f t="shared" si="3"/>
        <v>16.67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21">
        <v>61.0</v>
      </c>
      <c r="B63" s="22">
        <v>44434.0</v>
      </c>
      <c r="C63" s="25"/>
      <c r="D63" s="30">
        <f t="shared" si="10"/>
        <v>229</v>
      </c>
      <c r="E63" s="23">
        <f t="shared" si="4"/>
        <v>0.8388278388</v>
      </c>
      <c r="F63" s="24">
        <f t="shared" si="5"/>
        <v>3537.764799</v>
      </c>
      <c r="G63" s="25"/>
      <c r="H63" s="25">
        <f t="shared" si="11"/>
        <v>122</v>
      </c>
      <c r="I63" s="23">
        <f t="shared" si="6"/>
        <v>0.4468864469</v>
      </c>
      <c r="J63" s="25">
        <f t="shared" si="7"/>
        <v>1884.748059</v>
      </c>
      <c r="K63" s="25"/>
      <c r="L63" s="25">
        <f t="shared" si="12"/>
        <v>124</v>
      </c>
      <c r="M63" s="26">
        <f t="shared" ref="M63:N63" si="71">M62</f>
        <v>273</v>
      </c>
      <c r="N63" s="27">
        <f t="shared" si="71"/>
        <v>4217.51</v>
      </c>
      <c r="O63" s="24">
        <f t="shared" si="9"/>
        <v>2067.08</v>
      </c>
      <c r="P63" s="9"/>
      <c r="Q63" s="20">
        <f t="shared" si="3"/>
        <v>16.67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21">
        <v>62.0</v>
      </c>
      <c r="B64" s="22">
        <v>44435.0</v>
      </c>
      <c r="C64" s="21">
        <f>12+8</f>
        <v>20</v>
      </c>
      <c r="D64" s="30">
        <f t="shared" si="10"/>
        <v>249</v>
      </c>
      <c r="E64" s="23">
        <f t="shared" si="4"/>
        <v>0.9120879121</v>
      </c>
      <c r="F64" s="24">
        <f t="shared" si="5"/>
        <v>3846.73989</v>
      </c>
      <c r="G64" s="25"/>
      <c r="H64" s="25">
        <f t="shared" si="11"/>
        <v>122</v>
      </c>
      <c r="I64" s="23">
        <f t="shared" si="6"/>
        <v>0.4468864469</v>
      </c>
      <c r="J64" s="25">
        <f t="shared" si="7"/>
        <v>1884.748059</v>
      </c>
      <c r="K64" s="25"/>
      <c r="L64" s="25">
        <f t="shared" si="12"/>
        <v>124</v>
      </c>
      <c r="M64" s="26">
        <f t="shared" ref="M64:N64" si="72">M63</f>
        <v>273</v>
      </c>
      <c r="N64" s="27">
        <f t="shared" si="72"/>
        <v>4217.51</v>
      </c>
      <c r="O64" s="24">
        <f t="shared" si="9"/>
        <v>2067.08</v>
      </c>
      <c r="P64" s="9"/>
      <c r="Q64" s="20">
        <f t="shared" si="3"/>
        <v>16.67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21">
        <v>63.0</v>
      </c>
      <c r="B65" s="22">
        <v>44436.0</v>
      </c>
      <c r="C65" s="21">
        <f>6+4</f>
        <v>10</v>
      </c>
      <c r="D65" s="30">
        <f t="shared" si="10"/>
        <v>259</v>
      </c>
      <c r="E65" s="23">
        <f t="shared" si="4"/>
        <v>0.9487179487</v>
      </c>
      <c r="F65" s="24">
        <f t="shared" si="5"/>
        <v>4001.227436</v>
      </c>
      <c r="G65" s="25"/>
      <c r="H65" s="25">
        <f t="shared" si="11"/>
        <v>122</v>
      </c>
      <c r="I65" s="23">
        <f t="shared" si="6"/>
        <v>0.4468864469</v>
      </c>
      <c r="J65" s="25">
        <f t="shared" si="7"/>
        <v>1884.748059</v>
      </c>
      <c r="K65" s="25"/>
      <c r="L65" s="25">
        <f t="shared" si="12"/>
        <v>124</v>
      </c>
      <c r="M65" s="26">
        <f t="shared" ref="M65:N65" si="73">M64</f>
        <v>273</v>
      </c>
      <c r="N65" s="27">
        <f t="shared" si="73"/>
        <v>4217.51</v>
      </c>
      <c r="O65" s="24">
        <f t="shared" si="9"/>
        <v>2067.08</v>
      </c>
      <c r="P65" s="9"/>
      <c r="Q65" s="20">
        <f t="shared" si="3"/>
        <v>16.67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21">
        <v>64.0</v>
      </c>
      <c r="B66" s="22">
        <v>44437.0</v>
      </c>
      <c r="C66" s="25"/>
      <c r="D66" s="30">
        <f t="shared" si="10"/>
        <v>259</v>
      </c>
      <c r="E66" s="23">
        <f t="shared" si="4"/>
        <v>0.9487179487</v>
      </c>
      <c r="F66" s="24">
        <f t="shared" si="5"/>
        <v>4001.227436</v>
      </c>
      <c r="G66" s="25"/>
      <c r="H66" s="25">
        <f t="shared" si="11"/>
        <v>122</v>
      </c>
      <c r="I66" s="23">
        <f t="shared" si="6"/>
        <v>0.4468864469</v>
      </c>
      <c r="J66" s="25">
        <f t="shared" si="7"/>
        <v>1884.748059</v>
      </c>
      <c r="K66" s="25"/>
      <c r="L66" s="25">
        <f t="shared" si="12"/>
        <v>124</v>
      </c>
      <c r="M66" s="26">
        <f t="shared" ref="M66:N66" si="74">M65</f>
        <v>273</v>
      </c>
      <c r="N66" s="27">
        <f t="shared" si="74"/>
        <v>4217.51</v>
      </c>
      <c r="O66" s="24">
        <f t="shared" si="9"/>
        <v>2067.08</v>
      </c>
      <c r="P66" s="9"/>
      <c r="Q66" s="20">
        <f t="shared" si="3"/>
        <v>16.67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21">
        <v>65.0</v>
      </c>
      <c r="B67" s="22">
        <v>44438.0</v>
      </c>
      <c r="C67" s="25"/>
      <c r="D67" s="30">
        <f t="shared" si="10"/>
        <v>259</v>
      </c>
      <c r="E67" s="23">
        <f t="shared" si="4"/>
        <v>0.9487179487</v>
      </c>
      <c r="F67" s="24">
        <f t="shared" si="5"/>
        <v>4001.227436</v>
      </c>
      <c r="G67" s="25"/>
      <c r="H67" s="25">
        <f t="shared" si="11"/>
        <v>122</v>
      </c>
      <c r="I67" s="23">
        <f t="shared" si="6"/>
        <v>0.4468864469</v>
      </c>
      <c r="J67" s="25">
        <f t="shared" si="7"/>
        <v>1884.748059</v>
      </c>
      <c r="K67" s="25"/>
      <c r="L67" s="25">
        <f t="shared" si="12"/>
        <v>124</v>
      </c>
      <c r="M67" s="26">
        <f t="shared" ref="M67:N67" si="75">M66</f>
        <v>273</v>
      </c>
      <c r="N67" s="27">
        <f t="shared" si="75"/>
        <v>4217.51</v>
      </c>
      <c r="O67" s="24">
        <f t="shared" si="9"/>
        <v>2067.08</v>
      </c>
      <c r="P67" s="9"/>
      <c r="Q67" s="20">
        <f t="shared" si="3"/>
        <v>16.67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21">
        <v>66.0</v>
      </c>
      <c r="B68" s="22">
        <v>44439.0</v>
      </c>
      <c r="C68" s="25"/>
      <c r="D68" s="30">
        <f t="shared" si="10"/>
        <v>259</v>
      </c>
      <c r="E68" s="23">
        <f t="shared" si="4"/>
        <v>0.9487179487</v>
      </c>
      <c r="F68" s="24">
        <f t="shared" si="5"/>
        <v>4001.227436</v>
      </c>
      <c r="G68" s="25"/>
      <c r="H68" s="25">
        <f t="shared" si="11"/>
        <v>122</v>
      </c>
      <c r="I68" s="23">
        <f t="shared" si="6"/>
        <v>0.4468864469</v>
      </c>
      <c r="J68" s="25">
        <f t="shared" si="7"/>
        <v>1884.748059</v>
      </c>
      <c r="K68" s="25"/>
      <c r="L68" s="25">
        <f t="shared" si="12"/>
        <v>124</v>
      </c>
      <c r="M68" s="26">
        <f t="shared" ref="M68:N68" si="76">M67</f>
        <v>273</v>
      </c>
      <c r="N68" s="27">
        <f t="shared" si="76"/>
        <v>4217.51</v>
      </c>
      <c r="O68" s="24">
        <f t="shared" si="9"/>
        <v>2067.08</v>
      </c>
      <c r="P68" s="9"/>
      <c r="Q68" s="20">
        <f t="shared" si="3"/>
        <v>16.67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21">
        <v>67.0</v>
      </c>
      <c r="B69" s="22">
        <v>44440.0</v>
      </c>
      <c r="C69" s="25"/>
      <c r="D69" s="30">
        <f t="shared" si="10"/>
        <v>259</v>
      </c>
      <c r="E69" s="23">
        <f t="shared" si="4"/>
        <v>0.9487179487</v>
      </c>
      <c r="F69" s="24">
        <f t="shared" si="5"/>
        <v>4001.227436</v>
      </c>
      <c r="G69" s="25"/>
      <c r="H69" s="25">
        <f t="shared" si="11"/>
        <v>122</v>
      </c>
      <c r="I69" s="23">
        <f t="shared" si="6"/>
        <v>0.4468864469</v>
      </c>
      <c r="J69" s="25">
        <f t="shared" si="7"/>
        <v>1884.748059</v>
      </c>
      <c r="K69" s="25"/>
      <c r="L69" s="25">
        <f t="shared" si="12"/>
        <v>124</v>
      </c>
      <c r="M69" s="26">
        <f t="shared" ref="M69:N69" si="77">M68</f>
        <v>273</v>
      </c>
      <c r="N69" s="27">
        <f t="shared" si="77"/>
        <v>4217.51</v>
      </c>
      <c r="O69" s="24">
        <f t="shared" si="9"/>
        <v>2067.08</v>
      </c>
      <c r="P69" s="9"/>
      <c r="Q69" s="20">
        <f t="shared" si="3"/>
        <v>16.67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21">
        <v>68.0</v>
      </c>
      <c r="B70" s="22">
        <v>44441.0</v>
      </c>
      <c r="C70" s="25"/>
      <c r="D70" s="30">
        <f t="shared" si="10"/>
        <v>259</v>
      </c>
      <c r="E70" s="23">
        <f t="shared" si="4"/>
        <v>0.9487179487</v>
      </c>
      <c r="F70" s="24">
        <f t="shared" si="5"/>
        <v>4001.227436</v>
      </c>
      <c r="G70" s="25"/>
      <c r="H70" s="25">
        <f t="shared" si="11"/>
        <v>122</v>
      </c>
      <c r="I70" s="23">
        <f t="shared" si="6"/>
        <v>0.4468864469</v>
      </c>
      <c r="J70" s="25">
        <f t="shared" si="7"/>
        <v>1884.748059</v>
      </c>
      <c r="K70" s="25"/>
      <c r="L70" s="25">
        <f t="shared" si="12"/>
        <v>124</v>
      </c>
      <c r="M70" s="26">
        <f t="shared" ref="M70:N70" si="78">M69</f>
        <v>273</v>
      </c>
      <c r="N70" s="27">
        <f t="shared" si="78"/>
        <v>4217.51</v>
      </c>
      <c r="O70" s="24">
        <f t="shared" si="9"/>
        <v>2067.08</v>
      </c>
      <c r="P70" s="9"/>
      <c r="Q70" s="20">
        <f t="shared" si="3"/>
        <v>16.67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21">
        <v>69.0</v>
      </c>
      <c r="B71" s="22">
        <v>44442.0</v>
      </c>
      <c r="C71" s="25"/>
      <c r="D71" s="30">
        <f t="shared" si="10"/>
        <v>259</v>
      </c>
      <c r="E71" s="23">
        <f t="shared" si="4"/>
        <v>0.9487179487</v>
      </c>
      <c r="F71" s="24">
        <f t="shared" si="5"/>
        <v>4001.227436</v>
      </c>
      <c r="G71" s="25"/>
      <c r="H71" s="25">
        <f t="shared" si="11"/>
        <v>122</v>
      </c>
      <c r="I71" s="23">
        <f t="shared" si="6"/>
        <v>0.4468864469</v>
      </c>
      <c r="J71" s="25">
        <f t="shared" si="7"/>
        <v>1884.748059</v>
      </c>
      <c r="K71" s="25"/>
      <c r="L71" s="25">
        <f t="shared" si="12"/>
        <v>124</v>
      </c>
      <c r="M71" s="26">
        <f t="shared" ref="M71:N71" si="79">M70</f>
        <v>273</v>
      </c>
      <c r="N71" s="27">
        <f t="shared" si="79"/>
        <v>4217.51</v>
      </c>
      <c r="O71" s="24">
        <f t="shared" si="9"/>
        <v>2067.08</v>
      </c>
      <c r="P71" s="9"/>
      <c r="Q71" s="20">
        <f t="shared" si="3"/>
        <v>16.67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21">
        <v>70.0</v>
      </c>
      <c r="B72" s="22">
        <v>44443.0</v>
      </c>
      <c r="C72" s="25"/>
      <c r="D72" s="30">
        <f t="shared" si="10"/>
        <v>259</v>
      </c>
      <c r="E72" s="23">
        <f t="shared" si="4"/>
        <v>0.9487179487</v>
      </c>
      <c r="F72" s="24">
        <f t="shared" si="5"/>
        <v>4001.227436</v>
      </c>
      <c r="G72" s="25"/>
      <c r="H72" s="25">
        <f t="shared" si="11"/>
        <v>122</v>
      </c>
      <c r="I72" s="23">
        <f t="shared" si="6"/>
        <v>0.4468864469</v>
      </c>
      <c r="J72" s="25">
        <f t="shared" si="7"/>
        <v>1884.748059</v>
      </c>
      <c r="K72" s="25"/>
      <c r="L72" s="25">
        <f t="shared" si="12"/>
        <v>124</v>
      </c>
      <c r="M72" s="26">
        <f t="shared" ref="M72:N72" si="80">M71</f>
        <v>273</v>
      </c>
      <c r="N72" s="27">
        <f t="shared" si="80"/>
        <v>4217.51</v>
      </c>
      <c r="O72" s="24">
        <f t="shared" si="9"/>
        <v>2067.08</v>
      </c>
      <c r="P72" s="9"/>
      <c r="Q72" s="20">
        <f t="shared" si="3"/>
        <v>16.67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21">
        <v>71.0</v>
      </c>
      <c r="B73" s="22">
        <v>44444.0</v>
      </c>
      <c r="C73" s="21"/>
      <c r="D73" s="30">
        <f t="shared" si="10"/>
        <v>259</v>
      </c>
      <c r="E73" s="23">
        <f t="shared" si="4"/>
        <v>0.9487179487</v>
      </c>
      <c r="F73" s="24">
        <f t="shared" si="5"/>
        <v>4001.227436</v>
      </c>
      <c r="G73" s="25"/>
      <c r="H73" s="25">
        <f t="shared" si="11"/>
        <v>122</v>
      </c>
      <c r="I73" s="23">
        <f t="shared" si="6"/>
        <v>0.4468864469</v>
      </c>
      <c r="J73" s="25">
        <f t="shared" si="7"/>
        <v>1884.748059</v>
      </c>
      <c r="K73" s="25"/>
      <c r="L73" s="25">
        <f t="shared" si="12"/>
        <v>124</v>
      </c>
      <c r="M73" s="26">
        <f t="shared" ref="M73:N73" si="81">M72</f>
        <v>273</v>
      </c>
      <c r="N73" s="27">
        <f t="shared" si="81"/>
        <v>4217.51</v>
      </c>
      <c r="O73" s="24">
        <f t="shared" si="9"/>
        <v>2067.08</v>
      </c>
      <c r="P73" s="9"/>
      <c r="Q73" s="20">
        <f t="shared" si="3"/>
        <v>16.67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21">
        <v>72.0</v>
      </c>
      <c r="B74" s="22">
        <v>44445.0</v>
      </c>
      <c r="C74" s="25"/>
      <c r="D74" s="30">
        <f t="shared" si="10"/>
        <v>259</v>
      </c>
      <c r="E74" s="23">
        <f t="shared" si="4"/>
        <v>0.9487179487</v>
      </c>
      <c r="F74" s="24">
        <f t="shared" si="5"/>
        <v>4001.227436</v>
      </c>
      <c r="G74" s="25"/>
      <c r="H74" s="25">
        <f t="shared" si="11"/>
        <v>122</v>
      </c>
      <c r="I74" s="23">
        <f t="shared" si="6"/>
        <v>0.4468864469</v>
      </c>
      <c r="J74" s="25">
        <f t="shared" si="7"/>
        <v>1884.748059</v>
      </c>
      <c r="K74" s="25"/>
      <c r="L74" s="25">
        <f t="shared" si="12"/>
        <v>124</v>
      </c>
      <c r="M74" s="26">
        <f t="shared" ref="M74:N74" si="82">M73</f>
        <v>273</v>
      </c>
      <c r="N74" s="27">
        <f t="shared" si="82"/>
        <v>4217.51</v>
      </c>
      <c r="O74" s="24">
        <f t="shared" si="9"/>
        <v>2067.08</v>
      </c>
      <c r="P74" s="9"/>
      <c r="Q74" s="20">
        <f t="shared" si="3"/>
        <v>16.67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21">
        <v>73.0</v>
      </c>
      <c r="B75" s="22">
        <v>44446.0</v>
      </c>
      <c r="C75" s="25"/>
      <c r="D75" s="30">
        <f t="shared" si="10"/>
        <v>259</v>
      </c>
      <c r="E75" s="23">
        <f t="shared" si="4"/>
        <v>0.9487179487</v>
      </c>
      <c r="F75" s="24">
        <f t="shared" si="5"/>
        <v>4001.227436</v>
      </c>
      <c r="G75" s="25"/>
      <c r="H75" s="25">
        <f t="shared" si="11"/>
        <v>122</v>
      </c>
      <c r="I75" s="23">
        <f t="shared" si="6"/>
        <v>0.4468864469</v>
      </c>
      <c r="J75" s="25">
        <f t="shared" si="7"/>
        <v>1884.748059</v>
      </c>
      <c r="K75" s="25"/>
      <c r="L75" s="25">
        <f t="shared" si="12"/>
        <v>124</v>
      </c>
      <c r="M75" s="26">
        <f t="shared" ref="M75:N75" si="83">M74</f>
        <v>273</v>
      </c>
      <c r="N75" s="27">
        <f t="shared" si="83"/>
        <v>4217.51</v>
      </c>
      <c r="O75" s="24">
        <f t="shared" si="9"/>
        <v>2067.08</v>
      </c>
      <c r="P75" s="9"/>
      <c r="Q75" s="20">
        <f t="shared" si="3"/>
        <v>16.67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21">
        <v>74.0</v>
      </c>
      <c r="B76" s="22">
        <v>44447.0</v>
      </c>
      <c r="C76" s="25"/>
      <c r="D76" s="30">
        <f t="shared" si="10"/>
        <v>259</v>
      </c>
      <c r="E76" s="23">
        <f t="shared" si="4"/>
        <v>0.9487179487</v>
      </c>
      <c r="F76" s="24">
        <f t="shared" si="5"/>
        <v>4001.227436</v>
      </c>
      <c r="G76" s="25"/>
      <c r="H76" s="25">
        <f t="shared" si="11"/>
        <v>122</v>
      </c>
      <c r="I76" s="23">
        <f t="shared" si="6"/>
        <v>0.4468864469</v>
      </c>
      <c r="J76" s="25">
        <f t="shared" si="7"/>
        <v>1884.748059</v>
      </c>
      <c r="K76" s="25"/>
      <c r="L76" s="25">
        <f t="shared" si="12"/>
        <v>124</v>
      </c>
      <c r="M76" s="26">
        <f t="shared" ref="M76:N76" si="84">M75</f>
        <v>273</v>
      </c>
      <c r="N76" s="27">
        <f t="shared" si="84"/>
        <v>4217.51</v>
      </c>
      <c r="O76" s="24">
        <f t="shared" si="9"/>
        <v>2067.08</v>
      </c>
      <c r="P76" s="9"/>
      <c r="Q76" s="20">
        <f t="shared" si="3"/>
        <v>16.67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21">
        <v>75.0</v>
      </c>
      <c r="B77" s="22">
        <v>44448.0</v>
      </c>
      <c r="C77" s="25"/>
      <c r="D77" s="30">
        <f t="shared" si="10"/>
        <v>259</v>
      </c>
      <c r="E77" s="23">
        <f t="shared" si="4"/>
        <v>0.9487179487</v>
      </c>
      <c r="F77" s="24">
        <f t="shared" si="5"/>
        <v>4001.227436</v>
      </c>
      <c r="G77" s="25"/>
      <c r="H77" s="25">
        <f t="shared" si="11"/>
        <v>122</v>
      </c>
      <c r="I77" s="23">
        <f t="shared" si="6"/>
        <v>0.4468864469</v>
      </c>
      <c r="J77" s="25">
        <f t="shared" si="7"/>
        <v>1884.748059</v>
      </c>
      <c r="K77" s="25"/>
      <c r="L77" s="25">
        <f t="shared" si="12"/>
        <v>124</v>
      </c>
      <c r="M77" s="26">
        <f t="shared" ref="M77:N77" si="85">M76</f>
        <v>273</v>
      </c>
      <c r="N77" s="27">
        <f t="shared" si="85"/>
        <v>4217.51</v>
      </c>
      <c r="O77" s="24">
        <f t="shared" si="9"/>
        <v>2067.08</v>
      </c>
      <c r="P77" s="9"/>
      <c r="Q77" s="20">
        <f t="shared" si="3"/>
        <v>16.67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21">
        <v>76.0</v>
      </c>
      <c r="B78" s="22">
        <v>44449.0</v>
      </c>
      <c r="C78" s="25"/>
      <c r="D78" s="30">
        <f t="shared" si="10"/>
        <v>259</v>
      </c>
      <c r="E78" s="23">
        <f t="shared" si="4"/>
        <v>0.9487179487</v>
      </c>
      <c r="F78" s="24">
        <f t="shared" si="5"/>
        <v>4001.227436</v>
      </c>
      <c r="G78" s="25"/>
      <c r="H78" s="25">
        <f t="shared" si="11"/>
        <v>122</v>
      </c>
      <c r="I78" s="23">
        <f t="shared" si="6"/>
        <v>0.4468864469</v>
      </c>
      <c r="J78" s="25">
        <f t="shared" si="7"/>
        <v>1884.748059</v>
      </c>
      <c r="K78" s="25"/>
      <c r="L78" s="25">
        <f t="shared" si="12"/>
        <v>124</v>
      </c>
      <c r="M78" s="26">
        <f t="shared" ref="M78:N78" si="86">M77</f>
        <v>273</v>
      </c>
      <c r="N78" s="27">
        <f t="shared" si="86"/>
        <v>4217.51</v>
      </c>
      <c r="O78" s="24">
        <f t="shared" si="9"/>
        <v>2067.08</v>
      </c>
      <c r="P78" s="9"/>
      <c r="Q78" s="20">
        <f t="shared" si="3"/>
        <v>16.67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21">
        <v>77.0</v>
      </c>
      <c r="B79" s="22">
        <v>44450.0</v>
      </c>
      <c r="C79" s="25"/>
      <c r="D79" s="30">
        <f t="shared" si="10"/>
        <v>259</v>
      </c>
      <c r="E79" s="23">
        <f t="shared" si="4"/>
        <v>0.9487179487</v>
      </c>
      <c r="F79" s="24">
        <f t="shared" si="5"/>
        <v>4001.227436</v>
      </c>
      <c r="G79" s="25"/>
      <c r="H79" s="25">
        <f t="shared" si="11"/>
        <v>122</v>
      </c>
      <c r="I79" s="23">
        <f t="shared" si="6"/>
        <v>0.4468864469</v>
      </c>
      <c r="J79" s="25">
        <f t="shared" si="7"/>
        <v>1884.748059</v>
      </c>
      <c r="K79" s="25"/>
      <c r="L79" s="25">
        <f t="shared" si="12"/>
        <v>124</v>
      </c>
      <c r="M79" s="26">
        <f t="shared" ref="M79:N79" si="87">M78</f>
        <v>273</v>
      </c>
      <c r="N79" s="27">
        <f t="shared" si="87"/>
        <v>4217.51</v>
      </c>
      <c r="O79" s="24">
        <f t="shared" si="9"/>
        <v>2067.08</v>
      </c>
      <c r="P79" s="9"/>
      <c r="Q79" s="20">
        <f t="shared" si="3"/>
        <v>16.67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21">
        <v>78.0</v>
      </c>
      <c r="B80" s="22">
        <v>44451.0</v>
      </c>
      <c r="C80" s="25"/>
      <c r="D80" s="30">
        <f t="shared" si="10"/>
        <v>259</v>
      </c>
      <c r="E80" s="23">
        <f t="shared" si="4"/>
        <v>0.9487179487</v>
      </c>
      <c r="F80" s="24">
        <f t="shared" si="5"/>
        <v>4001.227436</v>
      </c>
      <c r="G80" s="25">
        <f>48+12+8</f>
        <v>68</v>
      </c>
      <c r="H80" s="25">
        <f t="shared" si="11"/>
        <v>190</v>
      </c>
      <c r="I80" s="23">
        <f t="shared" si="6"/>
        <v>0.695970696</v>
      </c>
      <c r="J80" s="25">
        <f t="shared" si="7"/>
        <v>2935.26337</v>
      </c>
      <c r="K80" s="21">
        <f>4+4+8</f>
        <v>16</v>
      </c>
      <c r="L80" s="25">
        <f t="shared" si="12"/>
        <v>140</v>
      </c>
      <c r="M80" s="26">
        <f t="shared" ref="M80:N80" si="88">M79</f>
        <v>273</v>
      </c>
      <c r="N80" s="27">
        <f t="shared" si="88"/>
        <v>4217.51</v>
      </c>
      <c r="O80" s="24">
        <f t="shared" si="9"/>
        <v>2333.8</v>
      </c>
      <c r="P80" s="9"/>
      <c r="Q80" s="20">
        <f t="shared" si="3"/>
        <v>16.67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21">
        <v>79.0</v>
      </c>
      <c r="B81" s="22">
        <v>44452.0</v>
      </c>
      <c r="C81" s="25"/>
      <c r="D81" s="30">
        <f t="shared" si="10"/>
        <v>259</v>
      </c>
      <c r="E81" s="23">
        <f t="shared" si="4"/>
        <v>0.9487179487</v>
      </c>
      <c r="F81" s="24">
        <f t="shared" si="5"/>
        <v>4001.227436</v>
      </c>
      <c r="G81" s="29">
        <v>6.0</v>
      </c>
      <c r="H81" s="25">
        <f t="shared" ref="H81:H84" si="90">K80+H80</f>
        <v>206</v>
      </c>
      <c r="I81" s="23">
        <f t="shared" si="6"/>
        <v>0.7545787546</v>
      </c>
      <c r="J81" s="25">
        <f t="shared" si="7"/>
        <v>3182.443443</v>
      </c>
      <c r="K81" s="21">
        <f>9</f>
        <v>9</v>
      </c>
      <c r="L81" s="25">
        <f t="shared" si="12"/>
        <v>149</v>
      </c>
      <c r="M81" s="26">
        <f t="shared" ref="M81:N81" si="89">M80</f>
        <v>273</v>
      </c>
      <c r="N81" s="27">
        <f t="shared" si="89"/>
        <v>4217.51</v>
      </c>
      <c r="O81" s="24">
        <f t="shared" si="9"/>
        <v>2483.83</v>
      </c>
      <c r="P81" s="9"/>
      <c r="Q81" s="20">
        <f t="shared" si="3"/>
        <v>16.67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21">
        <v>80.0</v>
      </c>
      <c r="B82" s="22">
        <v>44453.0</v>
      </c>
      <c r="D82" s="30">
        <f t="shared" ref="D82:D84" si="92">D81+K81</f>
        <v>268</v>
      </c>
      <c r="E82" s="23">
        <f t="shared" si="4"/>
        <v>0.9816849817</v>
      </c>
      <c r="F82" s="24">
        <f t="shared" si="5"/>
        <v>4140.266227</v>
      </c>
      <c r="G82" s="29">
        <f>4+10</f>
        <v>14</v>
      </c>
      <c r="H82" s="25">
        <f t="shared" si="90"/>
        <v>215</v>
      </c>
      <c r="I82" s="23">
        <f t="shared" si="6"/>
        <v>0.7875457875</v>
      </c>
      <c r="J82" s="25">
        <f t="shared" si="7"/>
        <v>3321.482234</v>
      </c>
      <c r="K82" s="21">
        <f>3+13</f>
        <v>16</v>
      </c>
      <c r="L82" s="25">
        <f t="shared" si="12"/>
        <v>165</v>
      </c>
      <c r="M82" s="26">
        <f t="shared" ref="M82:N82" si="91">M81</f>
        <v>273</v>
      </c>
      <c r="N82" s="27">
        <f t="shared" si="91"/>
        <v>4217.51</v>
      </c>
      <c r="O82" s="24">
        <f t="shared" si="9"/>
        <v>2750.55</v>
      </c>
      <c r="P82" s="9"/>
      <c r="Q82" s="20">
        <f t="shared" si="3"/>
        <v>16.67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21">
        <v>81.0</v>
      </c>
      <c r="B83" s="22">
        <v>44454.0</v>
      </c>
      <c r="D83" s="30">
        <f t="shared" si="92"/>
        <v>284</v>
      </c>
      <c r="E83" s="23">
        <f t="shared" si="4"/>
        <v>1.04029304</v>
      </c>
      <c r="F83" s="24">
        <f t="shared" si="5"/>
        <v>4387.4463</v>
      </c>
      <c r="G83" s="29">
        <v>4.0</v>
      </c>
      <c r="H83" s="25">
        <f t="shared" si="90"/>
        <v>231</v>
      </c>
      <c r="I83" s="23">
        <f t="shared" si="6"/>
        <v>0.8461538462</v>
      </c>
      <c r="J83" s="25">
        <f t="shared" si="7"/>
        <v>3568.662308</v>
      </c>
      <c r="K83" s="21">
        <v>8.0</v>
      </c>
      <c r="L83" s="25">
        <f t="shared" si="12"/>
        <v>173</v>
      </c>
      <c r="M83" s="26">
        <f t="shared" ref="M83:N83" si="93">M82</f>
        <v>273</v>
      </c>
      <c r="N83" s="27">
        <f t="shared" si="93"/>
        <v>4217.51</v>
      </c>
      <c r="O83" s="24">
        <f t="shared" si="9"/>
        <v>2883.91</v>
      </c>
      <c r="P83" s="9"/>
      <c r="Q83" s="20">
        <f t="shared" si="3"/>
        <v>16.67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21">
        <v>82.0</v>
      </c>
      <c r="B84" s="22">
        <v>44455.0</v>
      </c>
      <c r="D84" s="30">
        <f t="shared" si="92"/>
        <v>292</v>
      </c>
      <c r="E84" s="23">
        <f t="shared" si="4"/>
        <v>1.06959707</v>
      </c>
      <c r="F84" s="24">
        <f t="shared" si="5"/>
        <v>4511.036337</v>
      </c>
      <c r="G84" s="32"/>
      <c r="H84" s="25">
        <f t="shared" si="90"/>
        <v>239</v>
      </c>
      <c r="I84" s="23">
        <f t="shared" si="6"/>
        <v>0.8754578755</v>
      </c>
      <c r="J84" s="25">
        <f t="shared" si="7"/>
        <v>3692.252344</v>
      </c>
      <c r="K84" s="25"/>
      <c r="L84" s="25">
        <f t="shared" si="12"/>
        <v>173</v>
      </c>
      <c r="M84" s="26">
        <f t="shared" ref="M84:N84" si="94">M83</f>
        <v>273</v>
      </c>
      <c r="N84" s="27">
        <f t="shared" si="94"/>
        <v>4217.51</v>
      </c>
      <c r="O84" s="24">
        <f t="shared" si="9"/>
        <v>2883.91</v>
      </c>
      <c r="P84" s="9"/>
      <c r="Q84" s="20">
        <f t="shared" si="3"/>
        <v>16.67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21">
        <v>83.0</v>
      </c>
      <c r="B85" s="22">
        <v>44456.0</v>
      </c>
      <c r="C85" s="21">
        <v>14.0</v>
      </c>
      <c r="D85" s="30">
        <f>D84+C85</f>
        <v>306</v>
      </c>
      <c r="E85" s="23">
        <f t="shared" si="4"/>
        <v>1.120879121</v>
      </c>
      <c r="F85" s="24">
        <f t="shared" si="5"/>
        <v>4727.318901</v>
      </c>
      <c r="G85" s="25"/>
      <c r="H85" s="25">
        <f>G85+H84</f>
        <v>239</v>
      </c>
      <c r="I85" s="23">
        <f t="shared" si="6"/>
        <v>0.8754578755</v>
      </c>
      <c r="J85" s="25">
        <f t="shared" si="7"/>
        <v>3692.252344</v>
      </c>
      <c r="K85" s="25"/>
      <c r="L85" s="25">
        <f t="shared" si="12"/>
        <v>173</v>
      </c>
      <c r="M85" s="26">
        <f t="shared" ref="M85:N85" si="95">M84</f>
        <v>273</v>
      </c>
      <c r="N85" s="27">
        <f t="shared" si="95"/>
        <v>4217.51</v>
      </c>
      <c r="O85" s="24">
        <f t="shared" si="9"/>
        <v>2883.91</v>
      </c>
      <c r="P85" s="9"/>
      <c r="Q85" s="20">
        <f t="shared" si="3"/>
        <v>16.67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21"/>
      <c r="B86" s="22"/>
      <c r="C86" s="25"/>
      <c r="D86" s="30"/>
      <c r="E86" s="23"/>
      <c r="F86" s="24"/>
      <c r="G86" s="25"/>
      <c r="H86" s="25"/>
      <c r="I86" s="23"/>
      <c r="J86" s="25"/>
      <c r="K86" s="25"/>
      <c r="L86" s="25"/>
      <c r="M86" s="26">
        <f t="shared" ref="M86:N86" si="96">M85</f>
        <v>273</v>
      </c>
      <c r="N86" s="27">
        <f t="shared" si="96"/>
        <v>4217.51</v>
      </c>
      <c r="O86" s="25"/>
      <c r="P86" s="9"/>
      <c r="Q86" s="20">
        <f t="shared" si="3"/>
        <v>16.67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21"/>
      <c r="B87" s="22"/>
      <c r="C87" s="25"/>
      <c r="D87" s="30"/>
      <c r="E87" s="23"/>
      <c r="F87" s="24"/>
      <c r="G87" s="25"/>
      <c r="H87" s="25"/>
      <c r="I87" s="23"/>
      <c r="J87" s="25"/>
      <c r="K87" s="25"/>
      <c r="L87" s="25"/>
      <c r="M87" s="26">
        <f t="shared" ref="M87:N87" si="97">M86</f>
        <v>273</v>
      </c>
      <c r="N87" s="27">
        <f t="shared" si="97"/>
        <v>4217.51</v>
      </c>
      <c r="O87" s="25"/>
      <c r="P87" s="9"/>
      <c r="Q87" s="20">
        <f t="shared" si="3"/>
        <v>16.67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21"/>
      <c r="B88" s="22"/>
      <c r="C88" s="25"/>
      <c r="D88" s="30"/>
      <c r="E88" s="23"/>
      <c r="F88" s="24"/>
      <c r="G88" s="25"/>
      <c r="H88" s="25"/>
      <c r="I88" s="23"/>
      <c r="J88" s="25"/>
      <c r="K88" s="25"/>
      <c r="L88" s="25"/>
      <c r="M88" s="26">
        <f t="shared" ref="M88:N88" si="98">M87</f>
        <v>273</v>
      </c>
      <c r="N88" s="27">
        <f t="shared" si="98"/>
        <v>4217.51</v>
      </c>
      <c r="O88" s="25"/>
      <c r="P88" s="9"/>
      <c r="Q88" s="20">
        <f t="shared" si="3"/>
        <v>16.67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21"/>
      <c r="B89" s="22"/>
      <c r="C89" s="25"/>
      <c r="D89" s="30"/>
      <c r="E89" s="23"/>
      <c r="F89" s="24"/>
      <c r="G89" s="25"/>
      <c r="H89" s="25"/>
      <c r="I89" s="23"/>
      <c r="J89" s="25"/>
      <c r="K89" s="25"/>
      <c r="L89" s="25"/>
      <c r="M89" s="26">
        <f t="shared" ref="M89:N89" si="99">M88</f>
        <v>273</v>
      </c>
      <c r="N89" s="27">
        <f t="shared" si="99"/>
        <v>4217.51</v>
      </c>
      <c r="O89" s="25"/>
      <c r="P89" s="9"/>
      <c r="Q89" s="20">
        <f t="shared" si="3"/>
        <v>16.67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21"/>
      <c r="B90" s="22"/>
      <c r="C90" s="25"/>
      <c r="D90" s="30"/>
      <c r="E90" s="23"/>
      <c r="F90" s="24"/>
      <c r="G90" s="25"/>
      <c r="H90" s="25"/>
      <c r="I90" s="23"/>
      <c r="J90" s="25"/>
      <c r="K90" s="25"/>
      <c r="L90" s="25"/>
      <c r="M90" s="26">
        <f t="shared" ref="M90:N90" si="100">M89</f>
        <v>273</v>
      </c>
      <c r="N90" s="27">
        <f t="shared" si="100"/>
        <v>4217.51</v>
      </c>
      <c r="O90" s="25"/>
      <c r="P90" s="9"/>
      <c r="Q90" s="20">
        <f t="shared" si="3"/>
        <v>16.67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21"/>
      <c r="B91" s="22"/>
      <c r="C91" s="25"/>
      <c r="D91" s="30"/>
      <c r="E91" s="23"/>
      <c r="F91" s="24"/>
      <c r="G91" s="25"/>
      <c r="H91" s="25"/>
      <c r="I91" s="23"/>
      <c r="J91" s="25"/>
      <c r="K91" s="25"/>
      <c r="L91" s="25"/>
      <c r="M91" s="26">
        <f t="shared" ref="M91:N91" si="101">M90</f>
        <v>273</v>
      </c>
      <c r="N91" s="27">
        <f t="shared" si="101"/>
        <v>4217.51</v>
      </c>
      <c r="O91" s="25"/>
      <c r="P91" s="9"/>
      <c r="Q91" s="20">
        <f t="shared" si="3"/>
        <v>16.67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21"/>
      <c r="B92" s="22"/>
      <c r="C92" s="25"/>
      <c r="D92" s="30"/>
      <c r="E92" s="23"/>
      <c r="F92" s="24"/>
      <c r="G92" s="25"/>
      <c r="H92" s="25"/>
      <c r="I92" s="23"/>
      <c r="J92" s="25"/>
      <c r="K92" s="25"/>
      <c r="L92" s="25"/>
      <c r="M92" s="26">
        <f t="shared" ref="M92:N92" si="102">M91</f>
        <v>273</v>
      </c>
      <c r="N92" s="27">
        <f t="shared" si="102"/>
        <v>4217.51</v>
      </c>
      <c r="O92" s="25"/>
      <c r="P92" s="9"/>
      <c r="Q92" s="20">
        <f t="shared" si="3"/>
        <v>16.67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21"/>
      <c r="B93" s="22"/>
      <c r="C93" s="25"/>
      <c r="D93" s="30"/>
      <c r="E93" s="23"/>
      <c r="F93" s="24"/>
      <c r="G93" s="25"/>
      <c r="H93" s="25"/>
      <c r="I93" s="23"/>
      <c r="J93" s="25"/>
      <c r="K93" s="25"/>
      <c r="L93" s="25"/>
      <c r="M93" s="26">
        <f t="shared" ref="M93:N93" si="103">M92</f>
        <v>273</v>
      </c>
      <c r="N93" s="27">
        <f t="shared" si="103"/>
        <v>4217.51</v>
      </c>
      <c r="O93" s="25"/>
      <c r="P93" s="9"/>
      <c r="Q93" s="20">
        <f t="shared" si="3"/>
        <v>16.67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21"/>
      <c r="B94" s="22"/>
      <c r="C94" s="25"/>
      <c r="D94" s="30"/>
      <c r="E94" s="23"/>
      <c r="F94" s="24"/>
      <c r="G94" s="25"/>
      <c r="H94" s="25"/>
      <c r="I94" s="23"/>
      <c r="J94" s="25"/>
      <c r="K94" s="25"/>
      <c r="L94" s="25"/>
      <c r="M94" s="26">
        <f t="shared" ref="M94:N94" si="104">M93</f>
        <v>273</v>
      </c>
      <c r="N94" s="27">
        <f t="shared" si="104"/>
        <v>4217.51</v>
      </c>
      <c r="O94" s="25"/>
      <c r="P94" s="9"/>
      <c r="Q94" s="20">
        <f t="shared" si="3"/>
        <v>16.67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21"/>
      <c r="B95" s="22"/>
      <c r="C95" s="25"/>
      <c r="D95" s="30"/>
      <c r="E95" s="23"/>
      <c r="F95" s="24"/>
      <c r="G95" s="25"/>
      <c r="H95" s="25"/>
      <c r="I95" s="23"/>
      <c r="J95" s="25"/>
      <c r="K95" s="25"/>
      <c r="L95" s="25"/>
      <c r="M95" s="26">
        <f t="shared" ref="M95:N95" si="105">M94</f>
        <v>273</v>
      </c>
      <c r="N95" s="27">
        <f t="shared" si="105"/>
        <v>4217.51</v>
      </c>
      <c r="O95" s="25"/>
      <c r="P95" s="9"/>
      <c r="Q95" s="20">
        <f t="shared" si="3"/>
        <v>16.67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21"/>
      <c r="B96" s="22"/>
      <c r="C96" s="25"/>
      <c r="D96" s="30"/>
      <c r="E96" s="23"/>
      <c r="F96" s="24"/>
      <c r="G96" s="25"/>
      <c r="H96" s="25"/>
      <c r="I96" s="23"/>
      <c r="J96" s="25"/>
      <c r="K96" s="25"/>
      <c r="L96" s="25"/>
      <c r="M96" s="26">
        <f t="shared" ref="M96:N96" si="106">M95</f>
        <v>273</v>
      </c>
      <c r="N96" s="27">
        <f t="shared" si="106"/>
        <v>4217.51</v>
      </c>
      <c r="O96" s="25"/>
      <c r="P96" s="9"/>
      <c r="Q96" s="20">
        <f t="shared" si="3"/>
        <v>16.67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21"/>
      <c r="B97" s="22"/>
      <c r="C97" s="25"/>
      <c r="D97" s="30"/>
      <c r="E97" s="23"/>
      <c r="F97" s="24"/>
      <c r="G97" s="25"/>
      <c r="H97" s="25"/>
      <c r="I97" s="23"/>
      <c r="J97" s="25"/>
      <c r="K97" s="25"/>
      <c r="L97" s="25"/>
      <c r="M97" s="26">
        <f t="shared" ref="M97:N97" si="107">M96</f>
        <v>273</v>
      </c>
      <c r="N97" s="27">
        <f t="shared" si="107"/>
        <v>4217.51</v>
      </c>
      <c r="O97" s="25"/>
      <c r="P97" s="9"/>
      <c r="Q97" s="20">
        <f t="shared" si="3"/>
        <v>16.67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21"/>
      <c r="B98" s="22"/>
      <c r="C98" s="25"/>
      <c r="D98" s="30"/>
      <c r="E98" s="23"/>
      <c r="F98" s="24"/>
      <c r="G98" s="25"/>
      <c r="H98" s="25"/>
      <c r="I98" s="23"/>
      <c r="J98" s="25"/>
      <c r="K98" s="25"/>
      <c r="L98" s="25"/>
      <c r="M98" s="26">
        <f t="shared" ref="M98:N98" si="108">M97</f>
        <v>273</v>
      </c>
      <c r="N98" s="27">
        <f t="shared" si="108"/>
        <v>4217.51</v>
      </c>
      <c r="O98" s="25"/>
      <c r="P98" s="9"/>
      <c r="Q98" s="20">
        <f t="shared" si="3"/>
        <v>16.67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21"/>
      <c r="B99" s="22"/>
      <c r="C99" s="25"/>
      <c r="D99" s="30"/>
      <c r="E99" s="23"/>
      <c r="F99" s="24"/>
      <c r="G99" s="25"/>
      <c r="H99" s="25"/>
      <c r="I99" s="23"/>
      <c r="J99" s="25"/>
      <c r="K99" s="25"/>
      <c r="L99" s="25"/>
      <c r="M99" s="26">
        <f t="shared" ref="M99:N99" si="109">M98</f>
        <v>273</v>
      </c>
      <c r="N99" s="27">
        <f t="shared" si="109"/>
        <v>4217.51</v>
      </c>
      <c r="O99" s="25"/>
      <c r="P99" s="9"/>
      <c r="Q99" s="20">
        <f t="shared" si="3"/>
        <v>16.67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21"/>
      <c r="B100" s="22"/>
      <c r="C100" s="25"/>
      <c r="D100" s="30"/>
      <c r="E100" s="23"/>
      <c r="F100" s="24"/>
      <c r="G100" s="25"/>
      <c r="H100" s="25"/>
      <c r="I100" s="23"/>
      <c r="J100" s="25"/>
      <c r="K100" s="25"/>
      <c r="L100" s="25"/>
      <c r="M100" s="26">
        <f t="shared" ref="M100:N100" si="110">M99</f>
        <v>273</v>
      </c>
      <c r="N100" s="27">
        <f t="shared" si="110"/>
        <v>4217.51</v>
      </c>
      <c r="O100" s="25"/>
      <c r="P100" s="9"/>
      <c r="Q100" s="20">
        <f t="shared" si="3"/>
        <v>16.67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25"/>
      <c r="B101" s="25"/>
      <c r="C101" s="25"/>
      <c r="D101" s="25"/>
      <c r="E101" s="23"/>
      <c r="F101" s="24"/>
      <c r="G101" s="25"/>
      <c r="H101" s="25"/>
      <c r="I101" s="23"/>
      <c r="J101" s="25"/>
      <c r="K101" s="25"/>
      <c r="L101" s="25"/>
      <c r="M101" s="26">
        <f t="shared" ref="M101:N101" si="111">M100</f>
        <v>273</v>
      </c>
      <c r="N101" s="27">
        <f t="shared" si="111"/>
        <v>4217.51</v>
      </c>
      <c r="O101" s="25"/>
      <c r="P101" s="9"/>
      <c r="Q101" s="20">
        <f t="shared" si="3"/>
        <v>16.67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25"/>
      <c r="B102" s="25"/>
      <c r="C102" s="25"/>
      <c r="D102" s="25"/>
      <c r="E102" s="23"/>
      <c r="F102" s="24"/>
      <c r="G102" s="25"/>
      <c r="H102" s="25"/>
      <c r="I102" s="23"/>
      <c r="J102" s="25"/>
      <c r="K102" s="25"/>
      <c r="L102" s="25"/>
      <c r="M102" s="26">
        <f t="shared" ref="M102:N102" si="112">M101</f>
        <v>273</v>
      </c>
      <c r="N102" s="27">
        <f t="shared" si="112"/>
        <v>4217.51</v>
      </c>
      <c r="O102" s="25"/>
      <c r="P102" s="9"/>
      <c r="Q102" s="20">
        <f t="shared" si="3"/>
        <v>16.67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25"/>
      <c r="B103" s="25"/>
      <c r="C103" s="25"/>
      <c r="D103" s="25"/>
      <c r="E103" s="23"/>
      <c r="F103" s="24"/>
      <c r="G103" s="25"/>
      <c r="H103" s="25"/>
      <c r="I103" s="23"/>
      <c r="J103" s="25"/>
      <c r="K103" s="25"/>
      <c r="L103" s="25"/>
      <c r="M103" s="26">
        <f t="shared" ref="M103:N103" si="113">M102</f>
        <v>273</v>
      </c>
      <c r="N103" s="27">
        <f t="shared" si="113"/>
        <v>4217.51</v>
      </c>
      <c r="O103" s="25"/>
      <c r="P103" s="9"/>
      <c r="Q103" s="20">
        <f t="shared" si="3"/>
        <v>16.67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25"/>
      <c r="B104" s="25"/>
      <c r="C104" s="25"/>
      <c r="D104" s="25"/>
      <c r="E104" s="23"/>
      <c r="F104" s="24"/>
      <c r="G104" s="25"/>
      <c r="H104" s="25"/>
      <c r="I104" s="23"/>
      <c r="J104" s="25"/>
      <c r="K104" s="25"/>
      <c r="L104" s="25"/>
      <c r="M104" s="26">
        <f t="shared" ref="M104:N104" si="114">M103</f>
        <v>273</v>
      </c>
      <c r="N104" s="27">
        <f t="shared" si="114"/>
        <v>4217.51</v>
      </c>
      <c r="O104" s="25"/>
      <c r="P104" s="9"/>
      <c r="Q104" s="20">
        <f t="shared" si="3"/>
        <v>16.67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25"/>
      <c r="B105" s="25"/>
      <c r="C105" s="25"/>
      <c r="D105" s="25"/>
      <c r="E105" s="23"/>
      <c r="F105" s="24"/>
      <c r="G105" s="25"/>
      <c r="H105" s="25"/>
      <c r="I105" s="23"/>
      <c r="J105" s="25"/>
      <c r="K105" s="25"/>
      <c r="L105" s="25"/>
      <c r="M105" s="26">
        <f t="shared" ref="M105:N105" si="115">M104</f>
        <v>273</v>
      </c>
      <c r="N105" s="27">
        <f t="shared" si="115"/>
        <v>4217.51</v>
      </c>
      <c r="O105" s="25"/>
      <c r="P105" s="9"/>
      <c r="Q105" s="20">
        <f t="shared" si="3"/>
        <v>16.67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25"/>
      <c r="B106" s="25"/>
      <c r="C106" s="25"/>
      <c r="D106" s="25"/>
      <c r="E106" s="23"/>
      <c r="F106" s="24"/>
      <c r="G106" s="25"/>
      <c r="H106" s="25"/>
      <c r="I106" s="23"/>
      <c r="J106" s="25"/>
      <c r="K106" s="25"/>
      <c r="L106" s="25"/>
      <c r="M106" s="26">
        <f t="shared" ref="M106:N106" si="116">M105</f>
        <v>273</v>
      </c>
      <c r="N106" s="27">
        <f t="shared" si="116"/>
        <v>4217.51</v>
      </c>
      <c r="O106" s="25"/>
      <c r="P106" s="9"/>
      <c r="Q106" s="20">
        <f t="shared" si="3"/>
        <v>16.67</v>
      </c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25"/>
      <c r="B107" s="25"/>
      <c r="C107" s="25"/>
      <c r="D107" s="25"/>
      <c r="E107" s="23"/>
      <c r="F107" s="24"/>
      <c r="G107" s="25"/>
      <c r="H107" s="25"/>
      <c r="I107" s="23"/>
      <c r="J107" s="25"/>
      <c r="K107" s="25"/>
      <c r="L107" s="25"/>
      <c r="M107" s="26">
        <f t="shared" ref="M107:N107" si="117">M106</f>
        <v>273</v>
      </c>
      <c r="N107" s="27">
        <f t="shared" si="117"/>
        <v>4217.51</v>
      </c>
      <c r="O107" s="25"/>
      <c r="P107" s="9"/>
      <c r="Q107" s="20">
        <f t="shared" si="3"/>
        <v>16.67</v>
      </c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25"/>
      <c r="B108" s="25"/>
      <c r="C108" s="25"/>
      <c r="D108" s="25"/>
      <c r="E108" s="23"/>
      <c r="F108" s="24"/>
      <c r="G108" s="25"/>
      <c r="H108" s="25"/>
      <c r="I108" s="23"/>
      <c r="J108" s="25"/>
      <c r="K108" s="25"/>
      <c r="L108" s="25"/>
      <c r="M108" s="26">
        <f t="shared" ref="M108:N108" si="118">M107</f>
        <v>273</v>
      </c>
      <c r="N108" s="27">
        <f t="shared" si="118"/>
        <v>4217.51</v>
      </c>
      <c r="O108" s="25"/>
      <c r="P108" s="9"/>
      <c r="Q108" s="20">
        <f t="shared" si="3"/>
        <v>16.67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25"/>
      <c r="B109" s="25"/>
      <c r="C109" s="25"/>
      <c r="D109" s="25"/>
      <c r="E109" s="23"/>
      <c r="F109" s="24"/>
      <c r="G109" s="25"/>
      <c r="H109" s="25"/>
      <c r="I109" s="23"/>
      <c r="J109" s="25"/>
      <c r="K109" s="25"/>
      <c r="L109" s="25"/>
      <c r="M109" s="26">
        <f t="shared" ref="M109:N109" si="119">M108</f>
        <v>273</v>
      </c>
      <c r="N109" s="27">
        <f t="shared" si="119"/>
        <v>4217.51</v>
      </c>
      <c r="O109" s="25"/>
      <c r="P109" s="9"/>
      <c r="Q109" s="20">
        <f t="shared" si="3"/>
        <v>16.67</v>
      </c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25"/>
      <c r="B110" s="25"/>
      <c r="C110" s="25"/>
      <c r="D110" s="25"/>
      <c r="E110" s="23"/>
      <c r="F110" s="24"/>
      <c r="G110" s="25"/>
      <c r="H110" s="25"/>
      <c r="I110" s="23"/>
      <c r="J110" s="25"/>
      <c r="K110" s="25"/>
      <c r="L110" s="25"/>
      <c r="M110" s="26">
        <f t="shared" ref="M110:N110" si="120">M109</f>
        <v>273</v>
      </c>
      <c r="N110" s="27">
        <f t="shared" si="120"/>
        <v>4217.51</v>
      </c>
      <c r="O110" s="25"/>
      <c r="P110" s="9"/>
      <c r="Q110" s="20">
        <f t="shared" si="3"/>
        <v>16.67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25"/>
      <c r="B111" s="25"/>
      <c r="C111" s="25"/>
      <c r="D111" s="25"/>
      <c r="E111" s="23"/>
      <c r="F111" s="24"/>
      <c r="G111" s="25"/>
      <c r="H111" s="25"/>
      <c r="I111" s="23"/>
      <c r="J111" s="25"/>
      <c r="K111" s="25"/>
      <c r="L111" s="25"/>
      <c r="M111" s="26">
        <f t="shared" ref="M111:N111" si="121">M110</f>
        <v>273</v>
      </c>
      <c r="N111" s="27">
        <f t="shared" si="121"/>
        <v>4217.51</v>
      </c>
      <c r="O111" s="25"/>
      <c r="P111" s="9"/>
      <c r="Q111" s="20">
        <f t="shared" si="3"/>
        <v>16.67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25"/>
      <c r="B112" s="25"/>
      <c r="C112" s="25"/>
      <c r="D112" s="25"/>
      <c r="E112" s="23"/>
      <c r="F112" s="24"/>
      <c r="G112" s="25"/>
      <c r="H112" s="25"/>
      <c r="I112" s="23"/>
      <c r="J112" s="25"/>
      <c r="K112" s="25"/>
      <c r="L112" s="25"/>
      <c r="M112" s="26">
        <f t="shared" ref="M112:N112" si="122">M111</f>
        <v>273</v>
      </c>
      <c r="N112" s="27">
        <f t="shared" si="122"/>
        <v>4217.51</v>
      </c>
      <c r="O112" s="25"/>
      <c r="P112" s="9"/>
      <c r="Q112" s="20">
        <f t="shared" si="3"/>
        <v>16.67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25"/>
      <c r="B113" s="25"/>
      <c r="C113" s="25"/>
      <c r="D113" s="25"/>
      <c r="E113" s="23"/>
      <c r="F113" s="24"/>
      <c r="G113" s="25"/>
      <c r="H113" s="25"/>
      <c r="I113" s="23"/>
      <c r="J113" s="25"/>
      <c r="K113" s="25"/>
      <c r="L113" s="25"/>
      <c r="M113" s="26">
        <f t="shared" ref="M113:N113" si="123">M112</f>
        <v>273</v>
      </c>
      <c r="N113" s="27">
        <f t="shared" si="123"/>
        <v>4217.51</v>
      </c>
      <c r="O113" s="25"/>
      <c r="P113" s="9"/>
      <c r="Q113" s="20">
        <f t="shared" si="3"/>
        <v>16.67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25"/>
      <c r="B114" s="25"/>
      <c r="C114" s="25"/>
      <c r="D114" s="25"/>
      <c r="E114" s="23"/>
      <c r="F114" s="24"/>
      <c r="G114" s="25"/>
      <c r="H114" s="25"/>
      <c r="I114" s="23"/>
      <c r="J114" s="25"/>
      <c r="K114" s="25"/>
      <c r="L114" s="25"/>
      <c r="M114" s="26">
        <f t="shared" ref="M114:N114" si="124">M113</f>
        <v>273</v>
      </c>
      <c r="N114" s="27">
        <f t="shared" si="124"/>
        <v>4217.51</v>
      </c>
      <c r="O114" s="25"/>
      <c r="P114" s="9"/>
      <c r="Q114" s="20">
        <f t="shared" si="3"/>
        <v>16.67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25"/>
      <c r="B115" s="25"/>
      <c r="C115" s="25"/>
      <c r="D115" s="25"/>
      <c r="E115" s="23"/>
      <c r="F115" s="24"/>
      <c r="G115" s="25"/>
      <c r="H115" s="25"/>
      <c r="I115" s="23"/>
      <c r="J115" s="25"/>
      <c r="K115" s="25"/>
      <c r="L115" s="25"/>
      <c r="M115" s="26">
        <f t="shared" ref="M115:N115" si="125">M114</f>
        <v>273</v>
      </c>
      <c r="N115" s="27">
        <f t="shared" si="125"/>
        <v>4217.51</v>
      </c>
      <c r="O115" s="25"/>
      <c r="P115" s="9"/>
      <c r="Q115" s="20">
        <f t="shared" si="3"/>
        <v>16.67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25"/>
      <c r="B116" s="25"/>
      <c r="C116" s="25"/>
      <c r="D116" s="25"/>
      <c r="E116" s="23"/>
      <c r="F116" s="24"/>
      <c r="G116" s="25"/>
      <c r="H116" s="25"/>
      <c r="I116" s="23"/>
      <c r="J116" s="25"/>
      <c r="K116" s="25"/>
      <c r="L116" s="25"/>
      <c r="M116" s="26">
        <f t="shared" ref="M116:N116" si="126">M115</f>
        <v>273</v>
      </c>
      <c r="N116" s="27">
        <f t="shared" si="126"/>
        <v>4217.51</v>
      </c>
      <c r="O116" s="25"/>
      <c r="P116" s="9"/>
      <c r="Q116" s="20">
        <f t="shared" si="3"/>
        <v>16.67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25"/>
      <c r="B117" s="25"/>
      <c r="C117" s="25"/>
      <c r="D117" s="25"/>
      <c r="E117" s="23"/>
      <c r="F117" s="24"/>
      <c r="G117" s="25"/>
      <c r="H117" s="25"/>
      <c r="I117" s="23"/>
      <c r="J117" s="25"/>
      <c r="K117" s="25"/>
      <c r="L117" s="25"/>
      <c r="M117" s="26">
        <f t="shared" ref="M117:N117" si="127">M116</f>
        <v>273</v>
      </c>
      <c r="N117" s="27">
        <f t="shared" si="127"/>
        <v>4217.51</v>
      </c>
      <c r="O117" s="25"/>
      <c r="P117" s="9"/>
      <c r="Q117" s="20">
        <f t="shared" si="3"/>
        <v>16.67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25"/>
      <c r="B118" s="25"/>
      <c r="C118" s="25"/>
      <c r="D118" s="25"/>
      <c r="E118" s="23"/>
      <c r="F118" s="24"/>
      <c r="G118" s="25"/>
      <c r="H118" s="25"/>
      <c r="I118" s="23"/>
      <c r="J118" s="25"/>
      <c r="K118" s="25"/>
      <c r="L118" s="25"/>
      <c r="M118" s="26">
        <f t="shared" ref="M118:N118" si="128">M117</f>
        <v>273</v>
      </c>
      <c r="N118" s="27">
        <f t="shared" si="128"/>
        <v>4217.51</v>
      </c>
      <c r="O118" s="25"/>
      <c r="P118" s="9"/>
      <c r="Q118" s="20">
        <f t="shared" si="3"/>
        <v>16.67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25"/>
      <c r="B119" s="25"/>
      <c r="C119" s="25"/>
      <c r="D119" s="25"/>
      <c r="E119" s="23"/>
      <c r="F119" s="24"/>
      <c r="G119" s="25"/>
      <c r="H119" s="25"/>
      <c r="I119" s="23"/>
      <c r="J119" s="25"/>
      <c r="K119" s="25"/>
      <c r="L119" s="25"/>
      <c r="M119" s="26">
        <f t="shared" ref="M119:N119" si="129">M118</f>
        <v>273</v>
      </c>
      <c r="N119" s="27">
        <f t="shared" si="129"/>
        <v>4217.51</v>
      </c>
      <c r="O119" s="25"/>
      <c r="P119" s="9"/>
      <c r="Q119" s="20">
        <f t="shared" si="3"/>
        <v>16.67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25"/>
      <c r="B120" s="25"/>
      <c r="C120" s="25"/>
      <c r="D120" s="25"/>
      <c r="E120" s="23"/>
      <c r="F120" s="24"/>
      <c r="G120" s="25"/>
      <c r="H120" s="25"/>
      <c r="I120" s="23"/>
      <c r="J120" s="25"/>
      <c r="K120" s="25"/>
      <c r="L120" s="25"/>
      <c r="M120" s="26">
        <f t="shared" ref="M120:N120" si="130">M119</f>
        <v>273</v>
      </c>
      <c r="N120" s="27">
        <f t="shared" si="130"/>
        <v>4217.51</v>
      </c>
      <c r="O120" s="25"/>
      <c r="P120" s="9"/>
      <c r="Q120" s="20">
        <f t="shared" si="3"/>
        <v>16.67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25"/>
      <c r="B121" s="25"/>
      <c r="C121" s="25"/>
      <c r="D121" s="25"/>
      <c r="E121" s="23"/>
      <c r="F121" s="24"/>
      <c r="G121" s="25"/>
      <c r="H121" s="25"/>
      <c r="I121" s="23"/>
      <c r="J121" s="25"/>
      <c r="K121" s="25"/>
      <c r="L121" s="25"/>
      <c r="M121" s="26">
        <f t="shared" ref="M121:N121" si="131">M120</f>
        <v>273</v>
      </c>
      <c r="N121" s="27">
        <f t="shared" si="131"/>
        <v>4217.51</v>
      </c>
      <c r="O121" s="25"/>
      <c r="P121" s="9"/>
      <c r="Q121" s="20">
        <f t="shared" si="3"/>
        <v>16.67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25"/>
      <c r="B122" s="25"/>
      <c r="C122" s="25"/>
      <c r="D122" s="25"/>
      <c r="E122" s="23"/>
      <c r="F122" s="24"/>
      <c r="G122" s="25"/>
      <c r="H122" s="25"/>
      <c r="I122" s="23"/>
      <c r="J122" s="25"/>
      <c r="K122" s="25"/>
      <c r="L122" s="25"/>
      <c r="M122" s="26">
        <f t="shared" ref="M122:N122" si="132">M121</f>
        <v>273</v>
      </c>
      <c r="N122" s="27">
        <f t="shared" si="132"/>
        <v>4217.51</v>
      </c>
      <c r="O122" s="25"/>
      <c r="P122" s="9"/>
      <c r="Q122" s="20">
        <f t="shared" si="3"/>
        <v>16.67</v>
      </c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25"/>
      <c r="B123" s="25"/>
      <c r="C123" s="25"/>
      <c r="D123" s="25"/>
      <c r="E123" s="23"/>
      <c r="F123" s="24"/>
      <c r="G123" s="25"/>
      <c r="H123" s="25"/>
      <c r="I123" s="23"/>
      <c r="J123" s="25"/>
      <c r="K123" s="25"/>
      <c r="L123" s="25"/>
      <c r="M123" s="26">
        <f t="shared" ref="M123:N123" si="133">M122</f>
        <v>273</v>
      </c>
      <c r="N123" s="27">
        <f t="shared" si="133"/>
        <v>4217.51</v>
      </c>
      <c r="O123" s="25"/>
      <c r="P123" s="9"/>
      <c r="Q123" s="20">
        <f t="shared" si="3"/>
        <v>16.67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25"/>
      <c r="B124" s="25"/>
      <c r="C124" s="25"/>
      <c r="D124" s="25"/>
      <c r="E124" s="23"/>
      <c r="F124" s="24"/>
      <c r="G124" s="25"/>
      <c r="H124" s="25"/>
      <c r="I124" s="23"/>
      <c r="J124" s="25"/>
      <c r="K124" s="25"/>
      <c r="L124" s="25"/>
      <c r="M124" s="26">
        <f t="shared" ref="M124:N124" si="134">M123</f>
        <v>273</v>
      </c>
      <c r="N124" s="27">
        <f t="shared" si="134"/>
        <v>4217.51</v>
      </c>
      <c r="O124" s="25"/>
      <c r="P124" s="9"/>
      <c r="Q124" s="20">
        <f t="shared" si="3"/>
        <v>16.67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25"/>
      <c r="B125" s="25"/>
      <c r="C125" s="25"/>
      <c r="D125" s="25"/>
      <c r="E125" s="23"/>
      <c r="F125" s="24"/>
      <c r="G125" s="25"/>
      <c r="H125" s="25"/>
      <c r="I125" s="23"/>
      <c r="J125" s="25"/>
      <c r="K125" s="25"/>
      <c r="L125" s="25"/>
      <c r="M125" s="26">
        <f t="shared" ref="M125:N125" si="135">M124</f>
        <v>273</v>
      </c>
      <c r="N125" s="27">
        <f t="shared" si="135"/>
        <v>4217.51</v>
      </c>
      <c r="O125" s="25"/>
      <c r="P125" s="9"/>
      <c r="Q125" s="20">
        <f t="shared" si="3"/>
        <v>16.67</v>
      </c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25"/>
      <c r="B126" s="25"/>
      <c r="C126" s="25"/>
      <c r="D126" s="25"/>
      <c r="E126" s="23"/>
      <c r="F126" s="24"/>
      <c r="G126" s="25"/>
      <c r="H126" s="25"/>
      <c r="I126" s="23"/>
      <c r="J126" s="25"/>
      <c r="K126" s="25"/>
      <c r="L126" s="25"/>
      <c r="M126" s="26">
        <f t="shared" ref="M126:N126" si="136">M125</f>
        <v>273</v>
      </c>
      <c r="N126" s="27">
        <f t="shared" si="136"/>
        <v>4217.51</v>
      </c>
      <c r="O126" s="25"/>
      <c r="P126" s="9"/>
      <c r="Q126" s="20">
        <f t="shared" si="3"/>
        <v>16.67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25"/>
      <c r="B127" s="25"/>
      <c r="C127" s="25"/>
      <c r="D127" s="25"/>
      <c r="E127" s="23"/>
      <c r="F127" s="24"/>
      <c r="G127" s="25"/>
      <c r="H127" s="25"/>
      <c r="I127" s="23"/>
      <c r="J127" s="25"/>
      <c r="K127" s="25"/>
      <c r="L127" s="25"/>
      <c r="M127" s="26">
        <f t="shared" ref="M127:N127" si="137">M126</f>
        <v>273</v>
      </c>
      <c r="N127" s="27">
        <f t="shared" si="137"/>
        <v>4217.51</v>
      </c>
      <c r="O127" s="25"/>
      <c r="P127" s="9"/>
      <c r="Q127" s="20">
        <f t="shared" si="3"/>
        <v>16.67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25"/>
      <c r="B128" s="25"/>
      <c r="C128" s="25"/>
      <c r="D128" s="25"/>
      <c r="E128" s="23"/>
      <c r="F128" s="24"/>
      <c r="G128" s="25"/>
      <c r="H128" s="25"/>
      <c r="I128" s="23"/>
      <c r="J128" s="25"/>
      <c r="K128" s="25"/>
      <c r="L128" s="25"/>
      <c r="M128" s="26">
        <f t="shared" ref="M128:N128" si="138">M127</f>
        <v>273</v>
      </c>
      <c r="N128" s="27">
        <f t="shared" si="138"/>
        <v>4217.51</v>
      </c>
      <c r="O128" s="25"/>
      <c r="P128" s="9"/>
      <c r="Q128" s="20">
        <f t="shared" si="3"/>
        <v>16.67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25"/>
      <c r="B129" s="25"/>
      <c r="C129" s="25"/>
      <c r="D129" s="25"/>
      <c r="E129" s="23"/>
      <c r="F129" s="24"/>
      <c r="G129" s="25"/>
      <c r="H129" s="25"/>
      <c r="I129" s="23"/>
      <c r="J129" s="25"/>
      <c r="K129" s="25"/>
      <c r="L129" s="25"/>
      <c r="M129" s="26">
        <f t="shared" ref="M129:N129" si="139">M128</f>
        <v>273</v>
      </c>
      <c r="N129" s="27">
        <f t="shared" si="139"/>
        <v>4217.51</v>
      </c>
      <c r="O129" s="25"/>
      <c r="P129" s="9"/>
      <c r="Q129" s="20">
        <f t="shared" si="3"/>
        <v>16.67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25"/>
      <c r="B130" s="25"/>
      <c r="C130" s="25"/>
      <c r="D130" s="25"/>
      <c r="E130" s="23"/>
      <c r="F130" s="24"/>
      <c r="G130" s="25"/>
      <c r="H130" s="25"/>
      <c r="I130" s="23"/>
      <c r="J130" s="25"/>
      <c r="K130" s="25"/>
      <c r="L130" s="25"/>
      <c r="M130" s="26">
        <f t="shared" ref="M130:N130" si="140">M129</f>
        <v>273</v>
      </c>
      <c r="N130" s="27">
        <f t="shared" si="140"/>
        <v>4217.51</v>
      </c>
      <c r="O130" s="25"/>
      <c r="P130" s="9"/>
      <c r="Q130" s="20">
        <f t="shared" si="3"/>
        <v>16.67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25"/>
      <c r="B131" s="25"/>
      <c r="C131" s="25"/>
      <c r="D131" s="25"/>
      <c r="E131" s="23"/>
      <c r="F131" s="24"/>
      <c r="G131" s="25"/>
      <c r="H131" s="25"/>
      <c r="I131" s="23"/>
      <c r="J131" s="25"/>
      <c r="K131" s="25"/>
      <c r="L131" s="25"/>
      <c r="M131" s="26">
        <f t="shared" ref="M131:N131" si="141">M130</f>
        <v>273</v>
      </c>
      <c r="N131" s="27">
        <f t="shared" si="141"/>
        <v>4217.51</v>
      </c>
      <c r="O131" s="25"/>
      <c r="P131" s="9"/>
      <c r="Q131" s="20">
        <f t="shared" si="3"/>
        <v>16.67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25"/>
      <c r="B132" s="25"/>
      <c r="C132" s="25"/>
      <c r="D132" s="25"/>
      <c r="E132" s="23"/>
      <c r="F132" s="24"/>
      <c r="G132" s="25"/>
      <c r="H132" s="25"/>
      <c r="I132" s="23"/>
      <c r="J132" s="25"/>
      <c r="K132" s="25"/>
      <c r="L132" s="25"/>
      <c r="M132" s="26">
        <f t="shared" ref="M132:N132" si="142">M131</f>
        <v>273</v>
      </c>
      <c r="N132" s="27">
        <f t="shared" si="142"/>
        <v>4217.51</v>
      </c>
      <c r="O132" s="25"/>
      <c r="P132" s="9"/>
      <c r="Q132" s="20">
        <f t="shared" si="3"/>
        <v>16.67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25"/>
      <c r="B133" s="25"/>
      <c r="C133" s="25"/>
      <c r="D133" s="25"/>
      <c r="E133" s="23"/>
      <c r="F133" s="24"/>
      <c r="G133" s="25"/>
      <c r="H133" s="25"/>
      <c r="I133" s="23"/>
      <c r="J133" s="25"/>
      <c r="K133" s="25"/>
      <c r="L133" s="25"/>
      <c r="M133" s="26">
        <f t="shared" ref="M133:N133" si="143">M132</f>
        <v>273</v>
      </c>
      <c r="N133" s="27">
        <f t="shared" si="143"/>
        <v>4217.51</v>
      </c>
      <c r="O133" s="25"/>
      <c r="P133" s="9"/>
      <c r="Q133" s="20">
        <f t="shared" si="3"/>
        <v>16.67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25"/>
      <c r="B134" s="25"/>
      <c r="C134" s="25"/>
      <c r="D134" s="25"/>
      <c r="E134" s="23"/>
      <c r="F134" s="24"/>
      <c r="G134" s="25"/>
      <c r="H134" s="25"/>
      <c r="I134" s="23"/>
      <c r="J134" s="25"/>
      <c r="K134" s="25"/>
      <c r="L134" s="25"/>
      <c r="M134" s="26">
        <f t="shared" ref="M134:N134" si="144">M133</f>
        <v>273</v>
      </c>
      <c r="N134" s="27">
        <f t="shared" si="144"/>
        <v>4217.51</v>
      </c>
      <c r="O134" s="25"/>
      <c r="P134" s="9"/>
      <c r="Q134" s="20">
        <f t="shared" si="3"/>
        <v>16.67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25"/>
      <c r="B135" s="25"/>
      <c r="C135" s="25"/>
      <c r="D135" s="25"/>
      <c r="E135" s="23"/>
      <c r="F135" s="24"/>
      <c r="G135" s="25"/>
      <c r="H135" s="25"/>
      <c r="I135" s="23"/>
      <c r="J135" s="25"/>
      <c r="K135" s="25"/>
      <c r="L135" s="25"/>
      <c r="M135" s="26">
        <f t="shared" ref="M135:N135" si="145">M134</f>
        <v>273</v>
      </c>
      <c r="N135" s="27">
        <f t="shared" si="145"/>
        <v>4217.51</v>
      </c>
      <c r="O135" s="25"/>
      <c r="P135" s="9"/>
      <c r="Q135" s="20">
        <f t="shared" si="3"/>
        <v>16.67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25"/>
      <c r="B136" s="25"/>
      <c r="C136" s="25"/>
      <c r="D136" s="25"/>
      <c r="E136" s="23"/>
      <c r="F136" s="24"/>
      <c r="G136" s="25"/>
      <c r="H136" s="25"/>
      <c r="I136" s="23"/>
      <c r="J136" s="25"/>
      <c r="K136" s="25"/>
      <c r="L136" s="25"/>
      <c r="M136" s="26">
        <f t="shared" ref="M136:N136" si="146">M135</f>
        <v>273</v>
      </c>
      <c r="N136" s="27">
        <f t="shared" si="146"/>
        <v>4217.51</v>
      </c>
      <c r="O136" s="25"/>
      <c r="P136" s="9"/>
      <c r="Q136" s="20">
        <f t="shared" si="3"/>
        <v>16.67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25"/>
      <c r="B137" s="25"/>
      <c r="C137" s="25"/>
      <c r="D137" s="25"/>
      <c r="E137" s="23"/>
      <c r="F137" s="24"/>
      <c r="G137" s="25"/>
      <c r="H137" s="25"/>
      <c r="I137" s="23"/>
      <c r="J137" s="25"/>
      <c r="K137" s="25"/>
      <c r="L137" s="25"/>
      <c r="M137" s="26">
        <f t="shared" ref="M137:N137" si="147">M136</f>
        <v>273</v>
      </c>
      <c r="N137" s="27">
        <f t="shared" si="147"/>
        <v>4217.51</v>
      </c>
      <c r="O137" s="25"/>
      <c r="P137" s="9"/>
      <c r="Q137" s="20">
        <f t="shared" si="3"/>
        <v>16.67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25"/>
      <c r="B138" s="25"/>
      <c r="C138" s="25"/>
      <c r="D138" s="25"/>
      <c r="E138" s="23"/>
      <c r="F138" s="24"/>
      <c r="G138" s="25"/>
      <c r="H138" s="25"/>
      <c r="I138" s="23"/>
      <c r="J138" s="25"/>
      <c r="K138" s="25"/>
      <c r="L138" s="25"/>
      <c r="M138" s="26">
        <f t="shared" ref="M138:N138" si="148">M137</f>
        <v>273</v>
      </c>
      <c r="N138" s="27">
        <f t="shared" si="148"/>
        <v>4217.51</v>
      </c>
      <c r="O138" s="25"/>
      <c r="P138" s="9"/>
      <c r="Q138" s="20">
        <f t="shared" si="3"/>
        <v>16.67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25"/>
      <c r="B139" s="25"/>
      <c r="C139" s="25"/>
      <c r="D139" s="25"/>
      <c r="E139" s="23"/>
      <c r="F139" s="24"/>
      <c r="G139" s="25"/>
      <c r="H139" s="25"/>
      <c r="I139" s="23"/>
      <c r="J139" s="25"/>
      <c r="K139" s="25"/>
      <c r="L139" s="25"/>
      <c r="M139" s="26">
        <f t="shared" ref="M139:N139" si="149">M138</f>
        <v>273</v>
      </c>
      <c r="N139" s="27">
        <f t="shared" si="149"/>
        <v>4217.51</v>
      </c>
      <c r="O139" s="25"/>
      <c r="P139" s="9"/>
      <c r="Q139" s="20">
        <f t="shared" si="3"/>
        <v>16.67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25"/>
      <c r="B140" s="25"/>
      <c r="C140" s="25"/>
      <c r="D140" s="25"/>
      <c r="E140" s="23"/>
      <c r="F140" s="24"/>
      <c r="G140" s="25"/>
      <c r="H140" s="25"/>
      <c r="I140" s="23"/>
      <c r="J140" s="25"/>
      <c r="K140" s="25"/>
      <c r="L140" s="25"/>
      <c r="M140" s="26">
        <f t="shared" ref="M140:N140" si="150">M139</f>
        <v>273</v>
      </c>
      <c r="N140" s="27">
        <f t="shared" si="150"/>
        <v>4217.51</v>
      </c>
      <c r="O140" s="25"/>
      <c r="P140" s="9"/>
      <c r="Q140" s="20">
        <f t="shared" si="3"/>
        <v>16.67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5"/>
      <c r="B141" s="25"/>
      <c r="C141" s="25"/>
      <c r="D141" s="25"/>
      <c r="E141" s="23"/>
      <c r="F141" s="24"/>
      <c r="G141" s="25"/>
      <c r="H141" s="25"/>
      <c r="I141" s="23"/>
      <c r="J141" s="25"/>
      <c r="K141" s="25"/>
      <c r="L141" s="25"/>
      <c r="M141" s="26">
        <f t="shared" ref="M141:N141" si="151">M140</f>
        <v>273</v>
      </c>
      <c r="N141" s="27">
        <f t="shared" si="151"/>
        <v>4217.51</v>
      </c>
      <c r="O141" s="25"/>
      <c r="P141" s="9"/>
      <c r="Q141" s="20">
        <f t="shared" si="3"/>
        <v>16.67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25"/>
      <c r="B142" s="25"/>
      <c r="C142" s="25"/>
      <c r="D142" s="25"/>
      <c r="E142" s="23"/>
      <c r="F142" s="24"/>
      <c r="G142" s="25"/>
      <c r="H142" s="25"/>
      <c r="I142" s="23"/>
      <c r="J142" s="25"/>
      <c r="K142" s="25"/>
      <c r="L142" s="25"/>
      <c r="M142" s="26">
        <f t="shared" ref="M142:N142" si="152">M141</f>
        <v>273</v>
      </c>
      <c r="N142" s="27">
        <f t="shared" si="152"/>
        <v>4217.51</v>
      </c>
      <c r="O142" s="25"/>
      <c r="P142" s="9"/>
      <c r="Q142" s="20">
        <f t="shared" si="3"/>
        <v>16.67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25"/>
      <c r="B143" s="25"/>
      <c r="C143" s="25"/>
      <c r="D143" s="25"/>
      <c r="E143" s="23"/>
      <c r="F143" s="24"/>
      <c r="G143" s="25"/>
      <c r="H143" s="25"/>
      <c r="I143" s="23"/>
      <c r="J143" s="25"/>
      <c r="K143" s="25"/>
      <c r="L143" s="25"/>
      <c r="M143" s="26">
        <f t="shared" ref="M143:N143" si="153">M142</f>
        <v>273</v>
      </c>
      <c r="N143" s="27">
        <f t="shared" si="153"/>
        <v>4217.51</v>
      </c>
      <c r="O143" s="25"/>
      <c r="P143" s="9"/>
      <c r="Q143" s="20">
        <f t="shared" si="3"/>
        <v>16.67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25"/>
      <c r="B144" s="25"/>
      <c r="C144" s="25"/>
      <c r="D144" s="25"/>
      <c r="E144" s="23"/>
      <c r="F144" s="24"/>
      <c r="G144" s="25"/>
      <c r="H144" s="25"/>
      <c r="I144" s="23"/>
      <c r="J144" s="25"/>
      <c r="K144" s="25"/>
      <c r="L144" s="25"/>
      <c r="M144" s="26">
        <f t="shared" ref="M144:N144" si="154">M143</f>
        <v>273</v>
      </c>
      <c r="N144" s="27">
        <f t="shared" si="154"/>
        <v>4217.51</v>
      </c>
      <c r="O144" s="25"/>
      <c r="P144" s="9"/>
      <c r="Q144" s="20">
        <f t="shared" si="3"/>
        <v>16.67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25"/>
      <c r="B145" s="25"/>
      <c r="C145" s="25"/>
      <c r="D145" s="25"/>
      <c r="E145" s="23"/>
      <c r="F145" s="24"/>
      <c r="G145" s="25"/>
      <c r="H145" s="25"/>
      <c r="I145" s="23"/>
      <c r="J145" s="25"/>
      <c r="K145" s="25"/>
      <c r="L145" s="25"/>
      <c r="M145" s="26">
        <f t="shared" ref="M145:N145" si="155">M144</f>
        <v>273</v>
      </c>
      <c r="N145" s="27">
        <f t="shared" si="155"/>
        <v>4217.51</v>
      </c>
      <c r="O145" s="25"/>
      <c r="P145" s="9"/>
      <c r="Q145" s="20">
        <f t="shared" si="3"/>
        <v>16.67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25"/>
      <c r="B146" s="25"/>
      <c r="C146" s="25"/>
      <c r="D146" s="25"/>
      <c r="E146" s="23"/>
      <c r="F146" s="24"/>
      <c r="G146" s="25"/>
      <c r="H146" s="25"/>
      <c r="I146" s="23"/>
      <c r="J146" s="25"/>
      <c r="K146" s="25"/>
      <c r="L146" s="25"/>
      <c r="M146" s="26">
        <f t="shared" ref="M146:N146" si="156">M145</f>
        <v>273</v>
      </c>
      <c r="N146" s="27">
        <f t="shared" si="156"/>
        <v>4217.51</v>
      </c>
      <c r="O146" s="25"/>
      <c r="P146" s="9"/>
      <c r="Q146" s="20">
        <f t="shared" si="3"/>
        <v>16.67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25"/>
      <c r="B147" s="25"/>
      <c r="C147" s="25"/>
      <c r="D147" s="25"/>
      <c r="E147" s="23"/>
      <c r="F147" s="24"/>
      <c r="G147" s="25"/>
      <c r="H147" s="25"/>
      <c r="I147" s="23"/>
      <c r="J147" s="25"/>
      <c r="K147" s="25"/>
      <c r="L147" s="25"/>
      <c r="M147" s="26">
        <f t="shared" ref="M147:N147" si="157">M146</f>
        <v>273</v>
      </c>
      <c r="N147" s="27">
        <f t="shared" si="157"/>
        <v>4217.51</v>
      </c>
      <c r="O147" s="25"/>
      <c r="P147" s="9"/>
      <c r="Q147" s="20">
        <f t="shared" si="3"/>
        <v>16.67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25"/>
      <c r="B148" s="25"/>
      <c r="C148" s="25"/>
      <c r="D148" s="25"/>
      <c r="E148" s="23"/>
      <c r="F148" s="24"/>
      <c r="G148" s="25"/>
      <c r="H148" s="25"/>
      <c r="I148" s="23"/>
      <c r="J148" s="25"/>
      <c r="K148" s="25"/>
      <c r="L148" s="25"/>
      <c r="M148" s="26">
        <f t="shared" ref="M148:N148" si="158">M147</f>
        <v>273</v>
      </c>
      <c r="N148" s="27">
        <f t="shared" si="158"/>
        <v>4217.51</v>
      </c>
      <c r="O148" s="25"/>
      <c r="P148" s="9"/>
      <c r="Q148" s="20">
        <f t="shared" si="3"/>
        <v>16.67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25"/>
      <c r="B149" s="25"/>
      <c r="C149" s="25"/>
      <c r="D149" s="25"/>
      <c r="E149" s="23"/>
      <c r="F149" s="24"/>
      <c r="G149" s="25"/>
      <c r="H149" s="25"/>
      <c r="I149" s="23"/>
      <c r="J149" s="25"/>
      <c r="K149" s="25"/>
      <c r="L149" s="25"/>
      <c r="M149" s="26">
        <f t="shared" ref="M149:N149" si="159">M148</f>
        <v>273</v>
      </c>
      <c r="N149" s="27">
        <f t="shared" si="159"/>
        <v>4217.51</v>
      </c>
      <c r="O149" s="25"/>
      <c r="P149" s="9"/>
      <c r="Q149" s="20">
        <f t="shared" si="3"/>
        <v>16.67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25"/>
      <c r="B150" s="25"/>
      <c r="C150" s="25"/>
      <c r="D150" s="25"/>
      <c r="E150" s="23"/>
      <c r="F150" s="24"/>
      <c r="G150" s="25"/>
      <c r="H150" s="25"/>
      <c r="I150" s="23"/>
      <c r="J150" s="25"/>
      <c r="K150" s="25"/>
      <c r="L150" s="25"/>
      <c r="M150" s="26">
        <f t="shared" ref="M150:N150" si="160">M149</f>
        <v>273</v>
      </c>
      <c r="N150" s="27">
        <f t="shared" si="160"/>
        <v>4217.51</v>
      </c>
      <c r="O150" s="25"/>
      <c r="P150" s="9"/>
      <c r="Q150" s="20">
        <f t="shared" si="3"/>
        <v>16.67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25"/>
      <c r="B151" s="25"/>
      <c r="C151" s="25"/>
      <c r="D151" s="25"/>
      <c r="E151" s="23"/>
      <c r="F151" s="24"/>
      <c r="G151" s="25"/>
      <c r="H151" s="25"/>
      <c r="I151" s="23"/>
      <c r="J151" s="25"/>
      <c r="K151" s="25"/>
      <c r="L151" s="25"/>
      <c r="M151" s="26">
        <f t="shared" ref="M151:N151" si="161">M150</f>
        <v>273</v>
      </c>
      <c r="N151" s="27">
        <f t="shared" si="161"/>
        <v>4217.51</v>
      </c>
      <c r="O151" s="25"/>
      <c r="P151" s="9"/>
      <c r="Q151" s="20">
        <f t="shared" si="3"/>
        <v>16.67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25"/>
      <c r="B152" s="25"/>
      <c r="C152" s="25"/>
      <c r="D152" s="25"/>
      <c r="E152" s="23"/>
      <c r="F152" s="24"/>
      <c r="G152" s="25"/>
      <c r="H152" s="25"/>
      <c r="I152" s="23"/>
      <c r="J152" s="25"/>
      <c r="K152" s="25"/>
      <c r="L152" s="25"/>
      <c r="M152" s="26">
        <f t="shared" ref="M152:N152" si="162">M151</f>
        <v>273</v>
      </c>
      <c r="N152" s="27">
        <f t="shared" si="162"/>
        <v>4217.51</v>
      </c>
      <c r="O152" s="25"/>
      <c r="P152" s="9"/>
      <c r="Q152" s="20">
        <f t="shared" si="3"/>
        <v>16.67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25"/>
      <c r="B153" s="25"/>
      <c r="C153" s="25"/>
      <c r="D153" s="25"/>
      <c r="E153" s="23"/>
      <c r="F153" s="24"/>
      <c r="G153" s="25"/>
      <c r="H153" s="25"/>
      <c r="I153" s="23"/>
      <c r="J153" s="25"/>
      <c r="K153" s="25"/>
      <c r="L153" s="25"/>
      <c r="M153" s="26">
        <f t="shared" ref="M153:N153" si="163">M152</f>
        <v>273</v>
      </c>
      <c r="N153" s="27">
        <f t="shared" si="163"/>
        <v>4217.51</v>
      </c>
      <c r="O153" s="25"/>
      <c r="P153" s="9"/>
      <c r="Q153" s="20">
        <f t="shared" si="3"/>
        <v>16.67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25"/>
      <c r="B154" s="25"/>
      <c r="C154" s="25"/>
      <c r="D154" s="25"/>
      <c r="E154" s="23"/>
      <c r="F154" s="24"/>
      <c r="G154" s="25"/>
      <c r="H154" s="25"/>
      <c r="I154" s="23"/>
      <c r="J154" s="25"/>
      <c r="K154" s="25"/>
      <c r="L154" s="25"/>
      <c r="M154" s="26">
        <f t="shared" ref="M154:N154" si="164">M153</f>
        <v>273</v>
      </c>
      <c r="N154" s="27">
        <f t="shared" si="164"/>
        <v>4217.51</v>
      </c>
      <c r="O154" s="25"/>
      <c r="P154" s="9"/>
      <c r="Q154" s="20">
        <f t="shared" si="3"/>
        <v>16.67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25"/>
      <c r="B155" s="25"/>
      <c r="C155" s="25"/>
      <c r="D155" s="25"/>
      <c r="E155" s="23"/>
      <c r="F155" s="24"/>
      <c r="G155" s="25"/>
      <c r="H155" s="25"/>
      <c r="I155" s="23"/>
      <c r="J155" s="25"/>
      <c r="K155" s="25"/>
      <c r="L155" s="25"/>
      <c r="M155" s="26">
        <f t="shared" ref="M155:N155" si="165">M154</f>
        <v>273</v>
      </c>
      <c r="N155" s="27">
        <f t="shared" si="165"/>
        <v>4217.51</v>
      </c>
      <c r="O155" s="25"/>
      <c r="P155" s="9"/>
      <c r="Q155" s="20">
        <f t="shared" si="3"/>
        <v>16.67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25"/>
      <c r="B156" s="25"/>
      <c r="C156" s="25"/>
      <c r="D156" s="25"/>
      <c r="E156" s="23"/>
      <c r="F156" s="24"/>
      <c r="G156" s="25"/>
      <c r="H156" s="25"/>
      <c r="I156" s="23"/>
      <c r="J156" s="25"/>
      <c r="K156" s="25"/>
      <c r="L156" s="25"/>
      <c r="M156" s="26">
        <f t="shared" ref="M156:N156" si="166">M155</f>
        <v>273</v>
      </c>
      <c r="N156" s="27">
        <f t="shared" si="166"/>
        <v>4217.51</v>
      </c>
      <c r="O156" s="25"/>
      <c r="P156" s="9"/>
      <c r="Q156" s="20">
        <f t="shared" si="3"/>
        <v>16.67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25"/>
      <c r="B157" s="25"/>
      <c r="C157" s="25"/>
      <c r="D157" s="25"/>
      <c r="E157" s="23"/>
      <c r="F157" s="24"/>
      <c r="G157" s="25"/>
      <c r="H157" s="25"/>
      <c r="I157" s="23"/>
      <c r="J157" s="25"/>
      <c r="K157" s="25"/>
      <c r="L157" s="25"/>
      <c r="M157" s="26">
        <f t="shared" ref="M157:N157" si="167">M156</f>
        <v>273</v>
      </c>
      <c r="N157" s="27">
        <f t="shared" si="167"/>
        <v>4217.51</v>
      </c>
      <c r="O157" s="25"/>
      <c r="P157" s="9"/>
      <c r="Q157" s="20">
        <f t="shared" si="3"/>
        <v>16.67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25"/>
      <c r="B158" s="25"/>
      <c r="C158" s="25"/>
      <c r="D158" s="25"/>
      <c r="E158" s="23"/>
      <c r="F158" s="24"/>
      <c r="G158" s="25"/>
      <c r="H158" s="25"/>
      <c r="I158" s="23"/>
      <c r="J158" s="25"/>
      <c r="K158" s="25"/>
      <c r="L158" s="25"/>
      <c r="M158" s="26">
        <f t="shared" ref="M158:N158" si="168">M157</f>
        <v>273</v>
      </c>
      <c r="N158" s="27">
        <f t="shared" si="168"/>
        <v>4217.51</v>
      </c>
      <c r="O158" s="25"/>
      <c r="P158" s="9"/>
      <c r="Q158" s="20">
        <f t="shared" si="3"/>
        <v>16.67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25"/>
      <c r="B159" s="25"/>
      <c r="C159" s="25"/>
      <c r="D159" s="25"/>
      <c r="E159" s="23"/>
      <c r="F159" s="24"/>
      <c r="G159" s="25"/>
      <c r="H159" s="25"/>
      <c r="I159" s="23"/>
      <c r="J159" s="25"/>
      <c r="K159" s="25"/>
      <c r="L159" s="25"/>
      <c r="M159" s="26">
        <f t="shared" ref="M159:N159" si="169">M158</f>
        <v>273</v>
      </c>
      <c r="N159" s="27">
        <f t="shared" si="169"/>
        <v>4217.51</v>
      </c>
      <c r="O159" s="25"/>
      <c r="P159" s="9"/>
      <c r="Q159" s="20">
        <f t="shared" si="3"/>
        <v>16.67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25"/>
      <c r="B160" s="25"/>
      <c r="C160" s="25"/>
      <c r="D160" s="25"/>
      <c r="E160" s="23"/>
      <c r="F160" s="24"/>
      <c r="G160" s="25"/>
      <c r="H160" s="25"/>
      <c r="I160" s="23"/>
      <c r="J160" s="25"/>
      <c r="K160" s="25"/>
      <c r="L160" s="25"/>
      <c r="M160" s="26">
        <f t="shared" ref="M160:N160" si="170">M159</f>
        <v>273</v>
      </c>
      <c r="N160" s="27">
        <f t="shared" si="170"/>
        <v>4217.51</v>
      </c>
      <c r="O160" s="25"/>
      <c r="P160" s="9"/>
      <c r="Q160" s="20">
        <f t="shared" si="3"/>
        <v>16.67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25"/>
      <c r="B161" s="25"/>
      <c r="C161" s="25"/>
      <c r="D161" s="25"/>
      <c r="E161" s="23"/>
      <c r="F161" s="24"/>
      <c r="G161" s="25"/>
      <c r="H161" s="25"/>
      <c r="I161" s="23"/>
      <c r="J161" s="25"/>
      <c r="K161" s="25"/>
      <c r="L161" s="25"/>
      <c r="M161" s="26">
        <f t="shared" ref="M161:N161" si="171">M160</f>
        <v>273</v>
      </c>
      <c r="N161" s="27">
        <f t="shared" si="171"/>
        <v>4217.51</v>
      </c>
      <c r="O161" s="25"/>
      <c r="P161" s="9"/>
      <c r="Q161" s="20">
        <f t="shared" si="3"/>
        <v>16.67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25"/>
      <c r="B162" s="25"/>
      <c r="C162" s="25"/>
      <c r="D162" s="25"/>
      <c r="E162" s="23"/>
      <c r="F162" s="24"/>
      <c r="G162" s="25"/>
      <c r="H162" s="25"/>
      <c r="I162" s="23"/>
      <c r="J162" s="25"/>
      <c r="K162" s="25"/>
      <c r="L162" s="25"/>
      <c r="M162" s="26">
        <f t="shared" ref="M162:N162" si="172">M161</f>
        <v>273</v>
      </c>
      <c r="N162" s="27">
        <f t="shared" si="172"/>
        <v>4217.51</v>
      </c>
      <c r="O162" s="25"/>
      <c r="P162" s="9"/>
      <c r="Q162" s="20">
        <f t="shared" si="3"/>
        <v>16.67</v>
      </c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25"/>
      <c r="B163" s="25"/>
      <c r="C163" s="25"/>
      <c r="D163" s="25"/>
      <c r="E163" s="23"/>
      <c r="F163" s="24"/>
      <c r="G163" s="25"/>
      <c r="H163" s="25"/>
      <c r="I163" s="23"/>
      <c r="J163" s="25"/>
      <c r="K163" s="25"/>
      <c r="L163" s="25"/>
      <c r="M163" s="26">
        <f t="shared" ref="M163:N163" si="173">M162</f>
        <v>273</v>
      </c>
      <c r="N163" s="27">
        <f t="shared" si="173"/>
        <v>4217.51</v>
      </c>
      <c r="O163" s="25"/>
      <c r="P163" s="9"/>
      <c r="Q163" s="20">
        <f t="shared" si="3"/>
        <v>16.67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25"/>
      <c r="B164" s="25"/>
      <c r="C164" s="25"/>
      <c r="D164" s="25"/>
      <c r="E164" s="23"/>
      <c r="F164" s="24"/>
      <c r="G164" s="25"/>
      <c r="H164" s="25"/>
      <c r="I164" s="23"/>
      <c r="J164" s="25"/>
      <c r="K164" s="25"/>
      <c r="L164" s="25"/>
      <c r="M164" s="26">
        <f t="shared" ref="M164:N164" si="174">M163</f>
        <v>273</v>
      </c>
      <c r="N164" s="27">
        <f t="shared" si="174"/>
        <v>4217.51</v>
      </c>
      <c r="O164" s="25"/>
      <c r="P164" s="9"/>
      <c r="Q164" s="20">
        <f t="shared" si="3"/>
        <v>16.67</v>
      </c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25"/>
      <c r="B165" s="25"/>
      <c r="C165" s="25"/>
      <c r="D165" s="25"/>
      <c r="E165" s="23"/>
      <c r="F165" s="24"/>
      <c r="G165" s="25"/>
      <c r="H165" s="25"/>
      <c r="I165" s="23"/>
      <c r="J165" s="25"/>
      <c r="K165" s="25"/>
      <c r="L165" s="25"/>
      <c r="M165" s="26">
        <f t="shared" ref="M165:N165" si="175">M164</f>
        <v>273</v>
      </c>
      <c r="N165" s="27">
        <f t="shared" si="175"/>
        <v>4217.51</v>
      </c>
      <c r="O165" s="25"/>
      <c r="P165" s="9"/>
      <c r="Q165" s="20">
        <f t="shared" si="3"/>
        <v>16.67</v>
      </c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25"/>
      <c r="B166" s="25"/>
      <c r="C166" s="25"/>
      <c r="D166" s="25"/>
      <c r="E166" s="23"/>
      <c r="F166" s="24"/>
      <c r="G166" s="25"/>
      <c r="H166" s="25"/>
      <c r="I166" s="23"/>
      <c r="J166" s="25"/>
      <c r="K166" s="25"/>
      <c r="L166" s="25"/>
      <c r="M166" s="26">
        <f t="shared" ref="M166:N166" si="176">M165</f>
        <v>273</v>
      </c>
      <c r="N166" s="27">
        <f t="shared" si="176"/>
        <v>4217.51</v>
      </c>
      <c r="O166" s="25"/>
      <c r="P166" s="9"/>
      <c r="Q166" s="20">
        <f t="shared" si="3"/>
        <v>16.67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25"/>
      <c r="B167" s="25"/>
      <c r="C167" s="25"/>
      <c r="D167" s="25"/>
      <c r="E167" s="23"/>
      <c r="F167" s="24"/>
      <c r="G167" s="25"/>
      <c r="H167" s="25"/>
      <c r="I167" s="23"/>
      <c r="J167" s="25"/>
      <c r="K167" s="25"/>
      <c r="L167" s="25"/>
      <c r="M167" s="26">
        <f t="shared" ref="M167:N167" si="177">M166</f>
        <v>273</v>
      </c>
      <c r="N167" s="27">
        <f t="shared" si="177"/>
        <v>4217.51</v>
      </c>
      <c r="O167" s="25"/>
      <c r="P167" s="9"/>
      <c r="Q167" s="20">
        <f t="shared" si="3"/>
        <v>16.67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25"/>
      <c r="B168" s="25"/>
      <c r="C168" s="25"/>
      <c r="D168" s="25"/>
      <c r="E168" s="23"/>
      <c r="F168" s="24"/>
      <c r="G168" s="25"/>
      <c r="H168" s="25"/>
      <c r="I168" s="23"/>
      <c r="J168" s="25"/>
      <c r="K168" s="25"/>
      <c r="L168" s="25"/>
      <c r="M168" s="26">
        <f t="shared" ref="M168:N168" si="178">M167</f>
        <v>273</v>
      </c>
      <c r="N168" s="27">
        <f t="shared" si="178"/>
        <v>4217.51</v>
      </c>
      <c r="O168" s="25"/>
      <c r="P168" s="9"/>
      <c r="Q168" s="20">
        <f t="shared" si="3"/>
        <v>16.67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25"/>
      <c r="B169" s="25"/>
      <c r="C169" s="25"/>
      <c r="D169" s="25"/>
      <c r="E169" s="23"/>
      <c r="F169" s="24"/>
      <c r="G169" s="25"/>
      <c r="H169" s="25"/>
      <c r="I169" s="23"/>
      <c r="J169" s="25"/>
      <c r="K169" s="25"/>
      <c r="L169" s="25"/>
      <c r="M169" s="26">
        <f t="shared" ref="M169:N169" si="179">M168</f>
        <v>273</v>
      </c>
      <c r="N169" s="27">
        <f t="shared" si="179"/>
        <v>4217.51</v>
      </c>
      <c r="O169" s="25"/>
      <c r="P169" s="9"/>
      <c r="Q169" s="20">
        <f t="shared" si="3"/>
        <v>16.67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25"/>
      <c r="B170" s="25"/>
      <c r="C170" s="25"/>
      <c r="D170" s="25"/>
      <c r="E170" s="23"/>
      <c r="F170" s="24"/>
      <c r="G170" s="25"/>
      <c r="H170" s="25"/>
      <c r="I170" s="23"/>
      <c r="J170" s="25"/>
      <c r="K170" s="25"/>
      <c r="L170" s="25"/>
      <c r="M170" s="26">
        <f t="shared" ref="M170:N170" si="180">M169</f>
        <v>273</v>
      </c>
      <c r="N170" s="27">
        <f t="shared" si="180"/>
        <v>4217.51</v>
      </c>
      <c r="O170" s="25"/>
      <c r="P170" s="9"/>
      <c r="Q170" s="20">
        <f t="shared" si="3"/>
        <v>16.67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25"/>
      <c r="B171" s="25"/>
      <c r="C171" s="25"/>
      <c r="D171" s="25"/>
      <c r="E171" s="23"/>
      <c r="F171" s="24"/>
      <c r="G171" s="25"/>
      <c r="H171" s="25"/>
      <c r="I171" s="23"/>
      <c r="J171" s="25"/>
      <c r="K171" s="25"/>
      <c r="L171" s="25"/>
      <c r="M171" s="26">
        <f t="shared" ref="M171:N171" si="181">M170</f>
        <v>273</v>
      </c>
      <c r="N171" s="27">
        <f t="shared" si="181"/>
        <v>4217.51</v>
      </c>
      <c r="O171" s="25"/>
      <c r="P171" s="9"/>
      <c r="Q171" s="20">
        <f t="shared" si="3"/>
        <v>16.67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25"/>
      <c r="B172" s="25"/>
      <c r="C172" s="25"/>
      <c r="D172" s="25"/>
      <c r="E172" s="23"/>
      <c r="F172" s="24"/>
      <c r="G172" s="25"/>
      <c r="H172" s="25"/>
      <c r="I172" s="23"/>
      <c r="J172" s="25"/>
      <c r="K172" s="25"/>
      <c r="L172" s="25"/>
      <c r="M172" s="26">
        <f t="shared" ref="M172:N172" si="182">M171</f>
        <v>273</v>
      </c>
      <c r="N172" s="27">
        <f t="shared" si="182"/>
        <v>4217.51</v>
      </c>
      <c r="O172" s="25"/>
      <c r="P172" s="9"/>
      <c r="Q172" s="20">
        <f t="shared" si="3"/>
        <v>16.67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25"/>
      <c r="B173" s="25"/>
      <c r="C173" s="25"/>
      <c r="D173" s="25"/>
      <c r="E173" s="23"/>
      <c r="F173" s="24"/>
      <c r="G173" s="25"/>
      <c r="H173" s="25"/>
      <c r="I173" s="23"/>
      <c r="J173" s="25"/>
      <c r="K173" s="25"/>
      <c r="L173" s="25"/>
      <c r="M173" s="26">
        <f t="shared" ref="M173:N173" si="183">M172</f>
        <v>273</v>
      </c>
      <c r="N173" s="27">
        <f t="shared" si="183"/>
        <v>4217.51</v>
      </c>
      <c r="O173" s="25"/>
      <c r="P173" s="9"/>
      <c r="Q173" s="20">
        <f t="shared" si="3"/>
        <v>16.67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25"/>
      <c r="B174" s="25"/>
      <c r="C174" s="25"/>
      <c r="D174" s="25"/>
      <c r="E174" s="23"/>
      <c r="F174" s="24"/>
      <c r="G174" s="25"/>
      <c r="H174" s="25"/>
      <c r="I174" s="23"/>
      <c r="J174" s="25"/>
      <c r="K174" s="25"/>
      <c r="L174" s="25"/>
      <c r="M174" s="26">
        <f t="shared" ref="M174:N174" si="184">M173</f>
        <v>273</v>
      </c>
      <c r="N174" s="27">
        <f t="shared" si="184"/>
        <v>4217.51</v>
      </c>
      <c r="O174" s="25"/>
      <c r="P174" s="9"/>
      <c r="Q174" s="20">
        <f t="shared" si="3"/>
        <v>16.67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25"/>
      <c r="B175" s="25"/>
      <c r="C175" s="25"/>
      <c r="D175" s="25"/>
      <c r="E175" s="23"/>
      <c r="F175" s="24"/>
      <c r="G175" s="25"/>
      <c r="H175" s="25"/>
      <c r="I175" s="23"/>
      <c r="J175" s="25"/>
      <c r="K175" s="25"/>
      <c r="L175" s="25"/>
      <c r="M175" s="26">
        <f t="shared" ref="M175:N175" si="185">M174</f>
        <v>273</v>
      </c>
      <c r="N175" s="27">
        <f t="shared" si="185"/>
        <v>4217.51</v>
      </c>
      <c r="O175" s="25"/>
      <c r="P175" s="9"/>
      <c r="Q175" s="20">
        <f t="shared" si="3"/>
        <v>16.67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25"/>
      <c r="B176" s="25"/>
      <c r="C176" s="25"/>
      <c r="D176" s="25"/>
      <c r="E176" s="23"/>
      <c r="F176" s="24"/>
      <c r="G176" s="25"/>
      <c r="H176" s="25"/>
      <c r="I176" s="23"/>
      <c r="J176" s="25"/>
      <c r="K176" s="25"/>
      <c r="L176" s="25"/>
      <c r="M176" s="26">
        <f t="shared" ref="M176:N176" si="186">M175</f>
        <v>273</v>
      </c>
      <c r="N176" s="27">
        <f t="shared" si="186"/>
        <v>4217.51</v>
      </c>
      <c r="O176" s="25"/>
      <c r="P176" s="9"/>
      <c r="Q176" s="20">
        <f t="shared" si="3"/>
        <v>16.67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25"/>
      <c r="B177" s="25"/>
      <c r="C177" s="25"/>
      <c r="D177" s="25"/>
      <c r="E177" s="23"/>
      <c r="F177" s="24"/>
      <c r="G177" s="25"/>
      <c r="H177" s="25"/>
      <c r="I177" s="23"/>
      <c r="J177" s="25"/>
      <c r="K177" s="25"/>
      <c r="L177" s="25"/>
      <c r="M177" s="26">
        <f t="shared" ref="M177:N177" si="187">M176</f>
        <v>273</v>
      </c>
      <c r="N177" s="27">
        <f t="shared" si="187"/>
        <v>4217.51</v>
      </c>
      <c r="O177" s="25"/>
      <c r="P177" s="9"/>
      <c r="Q177" s="20">
        <f t="shared" si="3"/>
        <v>16.67</v>
      </c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25"/>
      <c r="B178" s="25"/>
      <c r="C178" s="25"/>
      <c r="D178" s="25"/>
      <c r="E178" s="23"/>
      <c r="F178" s="24"/>
      <c r="G178" s="25"/>
      <c r="H178" s="25"/>
      <c r="I178" s="23"/>
      <c r="J178" s="25"/>
      <c r="K178" s="25"/>
      <c r="L178" s="25"/>
      <c r="M178" s="26">
        <f t="shared" ref="M178:N178" si="188">M177</f>
        <v>273</v>
      </c>
      <c r="N178" s="27">
        <f t="shared" si="188"/>
        <v>4217.51</v>
      </c>
      <c r="O178" s="25"/>
      <c r="P178" s="9"/>
      <c r="Q178" s="20">
        <f t="shared" si="3"/>
        <v>16.67</v>
      </c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25"/>
      <c r="B179" s="25"/>
      <c r="C179" s="25"/>
      <c r="D179" s="25"/>
      <c r="E179" s="23"/>
      <c r="F179" s="24"/>
      <c r="G179" s="25"/>
      <c r="H179" s="25"/>
      <c r="I179" s="23"/>
      <c r="J179" s="25"/>
      <c r="K179" s="25"/>
      <c r="L179" s="25"/>
      <c r="M179" s="26">
        <f t="shared" ref="M179:N179" si="189">M178</f>
        <v>273</v>
      </c>
      <c r="N179" s="27">
        <f t="shared" si="189"/>
        <v>4217.51</v>
      </c>
      <c r="O179" s="25"/>
      <c r="P179" s="9"/>
      <c r="Q179" s="20">
        <f t="shared" si="3"/>
        <v>16.67</v>
      </c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25"/>
      <c r="B180" s="25"/>
      <c r="C180" s="25"/>
      <c r="D180" s="25"/>
      <c r="E180" s="23"/>
      <c r="F180" s="24"/>
      <c r="G180" s="25"/>
      <c r="H180" s="25"/>
      <c r="I180" s="23"/>
      <c r="J180" s="25"/>
      <c r="K180" s="25"/>
      <c r="L180" s="25"/>
      <c r="M180" s="26">
        <f t="shared" ref="M180:N180" si="190">M179</f>
        <v>273</v>
      </c>
      <c r="N180" s="27">
        <f t="shared" si="190"/>
        <v>4217.51</v>
      </c>
      <c r="O180" s="25"/>
      <c r="P180" s="9"/>
      <c r="Q180" s="20">
        <f t="shared" si="3"/>
        <v>16.67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25"/>
      <c r="B181" s="25"/>
      <c r="C181" s="25"/>
      <c r="D181" s="25"/>
      <c r="E181" s="23"/>
      <c r="F181" s="24"/>
      <c r="G181" s="25"/>
      <c r="H181" s="25"/>
      <c r="I181" s="23"/>
      <c r="J181" s="25"/>
      <c r="K181" s="25"/>
      <c r="L181" s="25"/>
      <c r="M181" s="26">
        <f t="shared" ref="M181:N181" si="191">M180</f>
        <v>273</v>
      </c>
      <c r="N181" s="27">
        <f t="shared" si="191"/>
        <v>4217.51</v>
      </c>
      <c r="O181" s="25"/>
      <c r="P181" s="9"/>
      <c r="Q181" s="20">
        <f t="shared" si="3"/>
        <v>16.67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25"/>
      <c r="B182" s="25"/>
      <c r="C182" s="25"/>
      <c r="D182" s="25"/>
      <c r="E182" s="23"/>
      <c r="F182" s="24"/>
      <c r="G182" s="25"/>
      <c r="H182" s="25"/>
      <c r="I182" s="23"/>
      <c r="J182" s="25"/>
      <c r="K182" s="25"/>
      <c r="L182" s="25"/>
      <c r="M182" s="26">
        <f t="shared" ref="M182:N182" si="192">M181</f>
        <v>273</v>
      </c>
      <c r="N182" s="27">
        <f t="shared" si="192"/>
        <v>4217.51</v>
      </c>
      <c r="O182" s="25"/>
      <c r="P182" s="9"/>
      <c r="Q182" s="20">
        <f t="shared" si="3"/>
        <v>16.67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25"/>
      <c r="B183" s="25"/>
      <c r="C183" s="25"/>
      <c r="D183" s="25"/>
      <c r="E183" s="23"/>
      <c r="F183" s="24"/>
      <c r="G183" s="25"/>
      <c r="H183" s="25"/>
      <c r="I183" s="23"/>
      <c r="J183" s="25"/>
      <c r="K183" s="25"/>
      <c r="L183" s="25"/>
      <c r="M183" s="26">
        <f t="shared" ref="M183:N183" si="193">M182</f>
        <v>273</v>
      </c>
      <c r="N183" s="27">
        <f t="shared" si="193"/>
        <v>4217.51</v>
      </c>
      <c r="O183" s="25"/>
      <c r="P183" s="9"/>
      <c r="Q183" s="20">
        <f t="shared" si="3"/>
        <v>16.67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25"/>
      <c r="B184" s="25"/>
      <c r="C184" s="25"/>
      <c r="D184" s="25"/>
      <c r="E184" s="23"/>
      <c r="F184" s="24"/>
      <c r="G184" s="25"/>
      <c r="H184" s="25"/>
      <c r="I184" s="23"/>
      <c r="J184" s="25"/>
      <c r="K184" s="25"/>
      <c r="L184" s="25"/>
      <c r="M184" s="26">
        <f t="shared" ref="M184:N184" si="194">M183</f>
        <v>273</v>
      </c>
      <c r="N184" s="27">
        <f t="shared" si="194"/>
        <v>4217.51</v>
      </c>
      <c r="O184" s="25"/>
      <c r="P184" s="9"/>
      <c r="Q184" s="20">
        <f t="shared" si="3"/>
        <v>16.67</v>
      </c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25"/>
      <c r="B185" s="25"/>
      <c r="C185" s="25"/>
      <c r="D185" s="25"/>
      <c r="E185" s="23"/>
      <c r="F185" s="24"/>
      <c r="G185" s="25"/>
      <c r="H185" s="25"/>
      <c r="I185" s="23"/>
      <c r="J185" s="25"/>
      <c r="K185" s="25"/>
      <c r="L185" s="25"/>
      <c r="M185" s="26">
        <f t="shared" ref="M185:N185" si="195">M184</f>
        <v>273</v>
      </c>
      <c r="N185" s="27">
        <f t="shared" si="195"/>
        <v>4217.51</v>
      </c>
      <c r="O185" s="25"/>
      <c r="P185" s="9"/>
      <c r="Q185" s="20">
        <f t="shared" si="3"/>
        <v>16.67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25"/>
      <c r="B186" s="25"/>
      <c r="C186" s="25"/>
      <c r="D186" s="25"/>
      <c r="E186" s="23"/>
      <c r="F186" s="24"/>
      <c r="G186" s="25"/>
      <c r="H186" s="25"/>
      <c r="I186" s="23"/>
      <c r="J186" s="25"/>
      <c r="K186" s="25"/>
      <c r="L186" s="25"/>
      <c r="M186" s="26">
        <f t="shared" ref="M186:N186" si="196">M185</f>
        <v>273</v>
      </c>
      <c r="N186" s="27">
        <f t="shared" si="196"/>
        <v>4217.51</v>
      </c>
      <c r="O186" s="25"/>
      <c r="P186" s="9"/>
      <c r="Q186" s="20">
        <f t="shared" si="3"/>
        <v>16.67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25"/>
      <c r="B187" s="25"/>
      <c r="C187" s="25"/>
      <c r="D187" s="25"/>
      <c r="E187" s="23"/>
      <c r="F187" s="24"/>
      <c r="G187" s="25"/>
      <c r="H187" s="25"/>
      <c r="I187" s="23"/>
      <c r="J187" s="25"/>
      <c r="K187" s="25"/>
      <c r="L187" s="25"/>
      <c r="M187" s="26">
        <f t="shared" ref="M187:N187" si="197">M186</f>
        <v>273</v>
      </c>
      <c r="N187" s="27">
        <f t="shared" si="197"/>
        <v>4217.51</v>
      </c>
      <c r="O187" s="25"/>
      <c r="P187" s="9"/>
      <c r="Q187" s="20">
        <f t="shared" si="3"/>
        <v>16.67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25"/>
      <c r="B188" s="25"/>
      <c r="C188" s="25"/>
      <c r="D188" s="25"/>
      <c r="E188" s="23"/>
      <c r="F188" s="24"/>
      <c r="G188" s="25"/>
      <c r="H188" s="25"/>
      <c r="I188" s="23"/>
      <c r="J188" s="25"/>
      <c r="K188" s="25"/>
      <c r="L188" s="25"/>
      <c r="M188" s="26">
        <f t="shared" ref="M188:N188" si="198">M187</f>
        <v>273</v>
      </c>
      <c r="N188" s="27">
        <f t="shared" si="198"/>
        <v>4217.51</v>
      </c>
      <c r="O188" s="25"/>
      <c r="P188" s="9"/>
      <c r="Q188" s="20">
        <f t="shared" si="3"/>
        <v>16.67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25"/>
      <c r="B189" s="25"/>
      <c r="C189" s="25"/>
      <c r="D189" s="25"/>
      <c r="E189" s="23"/>
      <c r="F189" s="24"/>
      <c r="G189" s="25"/>
      <c r="H189" s="25"/>
      <c r="I189" s="23"/>
      <c r="J189" s="25"/>
      <c r="K189" s="25"/>
      <c r="L189" s="25"/>
      <c r="M189" s="26">
        <f t="shared" ref="M189:N189" si="199">M188</f>
        <v>273</v>
      </c>
      <c r="N189" s="27">
        <f t="shared" si="199"/>
        <v>4217.51</v>
      </c>
      <c r="O189" s="25"/>
      <c r="P189" s="9"/>
      <c r="Q189" s="20">
        <f t="shared" si="3"/>
        <v>16.67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25"/>
      <c r="B190" s="25"/>
      <c r="C190" s="25"/>
      <c r="D190" s="25"/>
      <c r="E190" s="23"/>
      <c r="F190" s="24"/>
      <c r="G190" s="25"/>
      <c r="H190" s="25"/>
      <c r="I190" s="23"/>
      <c r="J190" s="25"/>
      <c r="K190" s="25"/>
      <c r="L190" s="25"/>
      <c r="M190" s="26">
        <f t="shared" ref="M190:N190" si="200">M189</f>
        <v>273</v>
      </c>
      <c r="N190" s="27">
        <f t="shared" si="200"/>
        <v>4217.51</v>
      </c>
      <c r="O190" s="25"/>
      <c r="P190" s="9"/>
      <c r="Q190" s="20">
        <f t="shared" si="3"/>
        <v>16.67</v>
      </c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25"/>
      <c r="B191" s="25"/>
      <c r="C191" s="25"/>
      <c r="D191" s="25"/>
      <c r="E191" s="23"/>
      <c r="F191" s="24"/>
      <c r="G191" s="25"/>
      <c r="H191" s="25"/>
      <c r="I191" s="23"/>
      <c r="J191" s="25"/>
      <c r="K191" s="25"/>
      <c r="L191" s="25"/>
      <c r="M191" s="26">
        <f t="shared" ref="M191:N191" si="201">M190</f>
        <v>273</v>
      </c>
      <c r="N191" s="27">
        <f t="shared" si="201"/>
        <v>4217.51</v>
      </c>
      <c r="O191" s="25"/>
      <c r="P191" s="9"/>
      <c r="Q191" s="20">
        <f t="shared" si="3"/>
        <v>16.67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25"/>
      <c r="B192" s="25"/>
      <c r="C192" s="25"/>
      <c r="D192" s="25"/>
      <c r="E192" s="23"/>
      <c r="F192" s="24"/>
      <c r="G192" s="25"/>
      <c r="H192" s="25"/>
      <c r="I192" s="23"/>
      <c r="J192" s="25"/>
      <c r="K192" s="25"/>
      <c r="L192" s="25"/>
      <c r="M192" s="26">
        <f t="shared" ref="M192:N192" si="202">M191</f>
        <v>273</v>
      </c>
      <c r="N192" s="27">
        <f t="shared" si="202"/>
        <v>4217.51</v>
      </c>
      <c r="O192" s="25"/>
      <c r="P192" s="9"/>
      <c r="Q192" s="20">
        <f t="shared" si="3"/>
        <v>16.67</v>
      </c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25"/>
      <c r="B193" s="25"/>
      <c r="C193" s="25"/>
      <c r="D193" s="25"/>
      <c r="E193" s="23"/>
      <c r="F193" s="24"/>
      <c r="G193" s="25"/>
      <c r="H193" s="25"/>
      <c r="I193" s="23"/>
      <c r="J193" s="25"/>
      <c r="K193" s="25"/>
      <c r="L193" s="25"/>
      <c r="M193" s="26">
        <f t="shared" ref="M193:N193" si="203">M192</f>
        <v>273</v>
      </c>
      <c r="N193" s="27">
        <f t="shared" si="203"/>
        <v>4217.51</v>
      </c>
      <c r="O193" s="25"/>
      <c r="P193" s="9"/>
      <c r="Q193" s="20">
        <f t="shared" si="3"/>
        <v>16.67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25"/>
      <c r="B194" s="25"/>
      <c r="C194" s="25"/>
      <c r="D194" s="25"/>
      <c r="E194" s="23"/>
      <c r="F194" s="24"/>
      <c r="G194" s="25"/>
      <c r="H194" s="25"/>
      <c r="I194" s="23"/>
      <c r="J194" s="25"/>
      <c r="K194" s="25"/>
      <c r="L194" s="25"/>
      <c r="M194" s="26">
        <f t="shared" ref="M194:N194" si="204">M193</f>
        <v>273</v>
      </c>
      <c r="N194" s="27">
        <f t="shared" si="204"/>
        <v>4217.51</v>
      </c>
      <c r="O194" s="25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25"/>
      <c r="B195" s="25"/>
      <c r="C195" s="25"/>
      <c r="D195" s="25"/>
      <c r="E195" s="23"/>
      <c r="F195" s="24"/>
      <c r="G195" s="25"/>
      <c r="H195" s="25"/>
      <c r="I195" s="23"/>
      <c r="J195" s="25"/>
      <c r="K195" s="25"/>
      <c r="L195" s="25"/>
      <c r="M195" s="26">
        <f t="shared" ref="M195:N195" si="205">M194</f>
        <v>273</v>
      </c>
      <c r="N195" s="27">
        <f t="shared" si="205"/>
        <v>4217.51</v>
      </c>
      <c r="O195" s="25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25"/>
      <c r="B196" s="25"/>
      <c r="C196" s="25"/>
      <c r="D196" s="25"/>
      <c r="E196" s="23"/>
      <c r="F196" s="24"/>
      <c r="G196" s="25"/>
      <c r="H196" s="25"/>
      <c r="I196" s="23"/>
      <c r="J196" s="25"/>
      <c r="K196" s="25"/>
      <c r="L196" s="25"/>
      <c r="M196" s="26">
        <f t="shared" ref="M196:N196" si="206">M195</f>
        <v>273</v>
      </c>
      <c r="N196" s="27">
        <f t="shared" si="206"/>
        <v>4217.51</v>
      </c>
      <c r="O196" s="25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25"/>
      <c r="B197" s="25"/>
      <c r="C197" s="25"/>
      <c r="D197" s="25"/>
      <c r="E197" s="23"/>
      <c r="F197" s="24"/>
      <c r="G197" s="25"/>
      <c r="H197" s="25"/>
      <c r="I197" s="23"/>
      <c r="J197" s="25"/>
      <c r="K197" s="25"/>
      <c r="L197" s="25"/>
      <c r="M197" s="26">
        <f t="shared" ref="M197:N197" si="207">M196</f>
        <v>273</v>
      </c>
      <c r="N197" s="27">
        <f t="shared" si="207"/>
        <v>4217.51</v>
      </c>
      <c r="O197" s="2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25"/>
      <c r="B198" s="25"/>
      <c r="C198" s="25"/>
      <c r="D198" s="25"/>
      <c r="E198" s="23"/>
      <c r="F198" s="24"/>
      <c r="G198" s="25"/>
      <c r="H198" s="25"/>
      <c r="I198" s="23"/>
      <c r="J198" s="25"/>
      <c r="K198" s="25"/>
      <c r="L198" s="25"/>
      <c r="M198" s="26">
        <f t="shared" ref="M198:N198" si="208">M197</f>
        <v>273</v>
      </c>
      <c r="N198" s="27">
        <f t="shared" si="208"/>
        <v>4217.51</v>
      </c>
      <c r="O198" s="25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25"/>
      <c r="B199" s="25"/>
      <c r="C199" s="25"/>
      <c r="D199" s="25"/>
      <c r="E199" s="23"/>
      <c r="F199" s="24"/>
      <c r="G199" s="25"/>
      <c r="H199" s="25"/>
      <c r="I199" s="23"/>
      <c r="J199" s="25"/>
      <c r="K199" s="25"/>
      <c r="L199" s="25"/>
      <c r="M199" s="26">
        <f t="shared" ref="M199:N199" si="209">M198</f>
        <v>273</v>
      </c>
      <c r="N199" s="27">
        <f t="shared" si="209"/>
        <v>4217.51</v>
      </c>
      <c r="O199" s="25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25"/>
      <c r="B200" s="25"/>
      <c r="C200" s="25"/>
      <c r="D200" s="25"/>
      <c r="E200" s="23"/>
      <c r="F200" s="24"/>
      <c r="G200" s="25"/>
      <c r="H200" s="25"/>
      <c r="I200" s="23"/>
      <c r="J200" s="25"/>
      <c r="K200" s="25"/>
      <c r="L200" s="25"/>
      <c r="M200" s="26">
        <f t="shared" ref="M200:N200" si="210">M199</f>
        <v>273</v>
      </c>
      <c r="N200" s="27">
        <f t="shared" si="210"/>
        <v>4217.51</v>
      </c>
      <c r="O200" s="2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25"/>
      <c r="B201" s="25"/>
      <c r="C201" s="25"/>
      <c r="D201" s="25"/>
      <c r="E201" s="23"/>
      <c r="F201" s="24"/>
      <c r="G201" s="25"/>
      <c r="H201" s="25"/>
      <c r="I201" s="23"/>
      <c r="J201" s="25"/>
      <c r="K201" s="25"/>
      <c r="L201" s="25"/>
      <c r="M201" s="26">
        <f t="shared" ref="M201:N201" si="211">M200</f>
        <v>273</v>
      </c>
      <c r="N201" s="27">
        <f t="shared" si="211"/>
        <v>4217.51</v>
      </c>
      <c r="O201" s="25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25"/>
      <c r="B202" s="25"/>
      <c r="C202" s="25"/>
      <c r="D202" s="25"/>
      <c r="E202" s="23"/>
      <c r="F202" s="24"/>
      <c r="G202" s="25"/>
      <c r="H202" s="25"/>
      <c r="I202" s="23"/>
      <c r="J202" s="25"/>
      <c r="K202" s="25"/>
      <c r="L202" s="25"/>
      <c r="M202" s="26">
        <f t="shared" ref="M202:N202" si="212">M201</f>
        <v>273</v>
      </c>
      <c r="N202" s="27">
        <f t="shared" si="212"/>
        <v>4217.51</v>
      </c>
      <c r="O202" s="25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25"/>
      <c r="B203" s="25"/>
      <c r="C203" s="25"/>
      <c r="D203" s="25"/>
      <c r="E203" s="23"/>
      <c r="F203" s="24"/>
      <c r="G203" s="25"/>
      <c r="H203" s="25"/>
      <c r="I203" s="23"/>
      <c r="J203" s="25"/>
      <c r="K203" s="25"/>
      <c r="L203" s="25"/>
      <c r="M203" s="26">
        <f t="shared" ref="M203:N203" si="213">M202</f>
        <v>273</v>
      </c>
      <c r="N203" s="27">
        <f t="shared" si="213"/>
        <v>4217.51</v>
      </c>
      <c r="O203" s="25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25"/>
      <c r="B204" s="25"/>
      <c r="C204" s="25"/>
      <c r="D204" s="25"/>
      <c r="E204" s="23"/>
      <c r="F204" s="24"/>
      <c r="G204" s="25"/>
      <c r="H204" s="25"/>
      <c r="I204" s="23"/>
      <c r="J204" s="25"/>
      <c r="K204" s="25"/>
      <c r="L204" s="25"/>
      <c r="M204" s="26">
        <f t="shared" ref="M204:N204" si="214">M203</f>
        <v>273</v>
      </c>
      <c r="N204" s="27">
        <f t="shared" si="214"/>
        <v>4217.51</v>
      </c>
      <c r="O204" s="25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25"/>
      <c r="B205" s="25"/>
      <c r="C205" s="25"/>
      <c r="D205" s="25"/>
      <c r="E205" s="23"/>
      <c r="F205" s="24"/>
      <c r="G205" s="25"/>
      <c r="H205" s="25"/>
      <c r="I205" s="23"/>
      <c r="J205" s="25"/>
      <c r="K205" s="25"/>
      <c r="L205" s="25"/>
      <c r="M205" s="26">
        <f t="shared" ref="M205:N205" si="215">M204</f>
        <v>273</v>
      </c>
      <c r="N205" s="27">
        <f t="shared" si="215"/>
        <v>4217.51</v>
      </c>
      <c r="O205" s="25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25"/>
      <c r="B206" s="25"/>
      <c r="C206" s="25"/>
      <c r="D206" s="25"/>
      <c r="E206" s="23"/>
      <c r="F206" s="24"/>
      <c r="G206" s="25"/>
      <c r="H206" s="25"/>
      <c r="I206" s="23"/>
      <c r="J206" s="25"/>
      <c r="K206" s="25"/>
      <c r="L206" s="25"/>
      <c r="M206" s="26">
        <f t="shared" ref="M206:N206" si="216">M205</f>
        <v>273</v>
      </c>
      <c r="N206" s="27">
        <f t="shared" si="216"/>
        <v>4217.51</v>
      </c>
      <c r="O206" s="25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25"/>
      <c r="B207" s="25"/>
      <c r="C207" s="25"/>
      <c r="D207" s="25"/>
      <c r="E207" s="23"/>
      <c r="F207" s="24"/>
      <c r="G207" s="25"/>
      <c r="H207" s="25"/>
      <c r="I207" s="23"/>
      <c r="J207" s="25"/>
      <c r="K207" s="25"/>
      <c r="L207" s="25"/>
      <c r="M207" s="26">
        <f t="shared" ref="M207:N207" si="217">M206</f>
        <v>273</v>
      </c>
      <c r="N207" s="27">
        <f t="shared" si="217"/>
        <v>4217.51</v>
      </c>
      <c r="O207" s="25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25"/>
      <c r="B208" s="25"/>
      <c r="C208" s="25"/>
      <c r="D208" s="25"/>
      <c r="E208" s="23"/>
      <c r="F208" s="24"/>
      <c r="G208" s="25"/>
      <c r="H208" s="25"/>
      <c r="I208" s="23"/>
      <c r="J208" s="25"/>
      <c r="K208" s="25"/>
      <c r="L208" s="25"/>
      <c r="M208" s="26">
        <f t="shared" ref="M208:N208" si="218">M207</f>
        <v>273</v>
      </c>
      <c r="N208" s="27">
        <f t="shared" si="218"/>
        <v>4217.51</v>
      </c>
      <c r="O208" s="25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25"/>
      <c r="B209" s="25"/>
      <c r="C209" s="25"/>
      <c r="D209" s="25"/>
      <c r="E209" s="23"/>
      <c r="F209" s="24"/>
      <c r="G209" s="25"/>
      <c r="H209" s="25"/>
      <c r="I209" s="23"/>
      <c r="J209" s="25"/>
      <c r="K209" s="25"/>
      <c r="L209" s="25"/>
      <c r="M209" s="26">
        <f t="shared" ref="M209:N209" si="219">M208</f>
        <v>273</v>
      </c>
      <c r="N209" s="27">
        <f t="shared" si="219"/>
        <v>4217.51</v>
      </c>
      <c r="O209" s="2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25"/>
      <c r="B210" s="25"/>
      <c r="C210" s="25"/>
      <c r="D210" s="25"/>
      <c r="E210" s="23"/>
      <c r="F210" s="24"/>
      <c r="G210" s="25"/>
      <c r="H210" s="25"/>
      <c r="I210" s="23"/>
      <c r="J210" s="25"/>
      <c r="K210" s="25"/>
      <c r="L210" s="25"/>
      <c r="M210" s="26">
        <f t="shared" ref="M210:N210" si="220">M209</f>
        <v>273</v>
      </c>
      <c r="N210" s="27">
        <f t="shared" si="220"/>
        <v>4217.51</v>
      </c>
      <c r="O210" s="25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25"/>
      <c r="B211" s="25"/>
      <c r="C211" s="25"/>
      <c r="D211" s="25"/>
      <c r="E211" s="23"/>
      <c r="F211" s="24"/>
      <c r="G211" s="25"/>
      <c r="H211" s="25"/>
      <c r="I211" s="23"/>
      <c r="J211" s="25"/>
      <c r="K211" s="25"/>
      <c r="L211" s="25"/>
      <c r="M211" s="26">
        <f t="shared" ref="M211:N211" si="221">M210</f>
        <v>273</v>
      </c>
      <c r="N211" s="27">
        <f t="shared" si="221"/>
        <v>4217.51</v>
      </c>
      <c r="O211" s="25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25"/>
      <c r="B212" s="25"/>
      <c r="C212" s="25"/>
      <c r="D212" s="25"/>
      <c r="E212" s="23"/>
      <c r="F212" s="24"/>
      <c r="G212" s="25"/>
      <c r="H212" s="25"/>
      <c r="I212" s="23"/>
      <c r="J212" s="25"/>
      <c r="K212" s="25"/>
      <c r="L212" s="25"/>
      <c r="M212" s="26">
        <f t="shared" ref="M212:N212" si="222">M211</f>
        <v>273</v>
      </c>
      <c r="N212" s="27">
        <f t="shared" si="222"/>
        <v>4217.51</v>
      </c>
      <c r="O212" s="25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25"/>
      <c r="B213" s="25"/>
      <c r="C213" s="25"/>
      <c r="D213" s="25"/>
      <c r="E213" s="23"/>
      <c r="F213" s="24"/>
      <c r="G213" s="25"/>
      <c r="H213" s="25"/>
      <c r="I213" s="23"/>
      <c r="J213" s="25"/>
      <c r="K213" s="25"/>
      <c r="L213" s="25"/>
      <c r="M213" s="26">
        <f t="shared" ref="M213:N213" si="223">M212</f>
        <v>273</v>
      </c>
      <c r="N213" s="27">
        <f t="shared" si="223"/>
        <v>4217.51</v>
      </c>
      <c r="O213" s="25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25"/>
      <c r="B214" s="25"/>
      <c r="C214" s="25"/>
      <c r="D214" s="25"/>
      <c r="E214" s="23"/>
      <c r="F214" s="24"/>
      <c r="G214" s="25"/>
      <c r="H214" s="25"/>
      <c r="I214" s="23"/>
      <c r="J214" s="25"/>
      <c r="K214" s="25"/>
      <c r="L214" s="25"/>
      <c r="M214" s="26">
        <f t="shared" ref="M214:N214" si="224">M213</f>
        <v>273</v>
      </c>
      <c r="N214" s="27">
        <f t="shared" si="224"/>
        <v>4217.51</v>
      </c>
      <c r="O214" s="25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25"/>
      <c r="B215" s="25"/>
      <c r="C215" s="25"/>
      <c r="D215" s="25"/>
      <c r="E215" s="23"/>
      <c r="F215" s="24"/>
      <c r="G215" s="25"/>
      <c r="H215" s="25"/>
      <c r="I215" s="23"/>
      <c r="J215" s="25"/>
      <c r="K215" s="25"/>
      <c r="L215" s="25"/>
      <c r="M215" s="26">
        <f t="shared" ref="M215:N215" si="225">M214</f>
        <v>273</v>
      </c>
      <c r="N215" s="27">
        <f t="shared" si="225"/>
        <v>4217.51</v>
      </c>
      <c r="O215" s="2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25"/>
      <c r="B216" s="25"/>
      <c r="C216" s="25"/>
      <c r="D216" s="25"/>
      <c r="E216" s="23"/>
      <c r="F216" s="24"/>
      <c r="G216" s="25"/>
      <c r="H216" s="25"/>
      <c r="I216" s="23"/>
      <c r="J216" s="25"/>
      <c r="K216" s="25"/>
      <c r="L216" s="25"/>
      <c r="M216" s="26">
        <f t="shared" ref="M216:N216" si="226">M215</f>
        <v>273</v>
      </c>
      <c r="N216" s="27">
        <f t="shared" si="226"/>
        <v>4217.51</v>
      </c>
      <c r="O216" s="25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25"/>
      <c r="B217" s="25"/>
      <c r="C217" s="25"/>
      <c r="D217" s="25"/>
      <c r="E217" s="23"/>
      <c r="F217" s="24"/>
      <c r="G217" s="25"/>
      <c r="H217" s="25"/>
      <c r="I217" s="23"/>
      <c r="J217" s="25"/>
      <c r="K217" s="25"/>
      <c r="L217" s="25"/>
      <c r="M217" s="26">
        <f t="shared" ref="M217:N217" si="227">M216</f>
        <v>273</v>
      </c>
      <c r="N217" s="27">
        <f t="shared" si="227"/>
        <v>4217.51</v>
      </c>
      <c r="O217" s="25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25"/>
      <c r="B218" s="25"/>
      <c r="C218" s="25"/>
      <c r="D218" s="25"/>
      <c r="E218" s="23"/>
      <c r="F218" s="24"/>
      <c r="G218" s="25"/>
      <c r="H218" s="25"/>
      <c r="I218" s="23"/>
      <c r="J218" s="25"/>
      <c r="K218" s="25"/>
      <c r="L218" s="25"/>
      <c r="M218" s="26">
        <f t="shared" ref="M218:N218" si="228">M217</f>
        <v>273</v>
      </c>
      <c r="N218" s="27">
        <f t="shared" si="228"/>
        <v>4217.51</v>
      </c>
      <c r="O218" s="25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25"/>
      <c r="B219" s="25"/>
      <c r="C219" s="25"/>
      <c r="D219" s="25"/>
      <c r="E219" s="23"/>
      <c r="F219" s="24"/>
      <c r="G219" s="25"/>
      <c r="H219" s="25"/>
      <c r="I219" s="23"/>
      <c r="J219" s="25"/>
      <c r="K219" s="25"/>
      <c r="L219" s="25"/>
      <c r="M219" s="26">
        <f t="shared" ref="M219:N219" si="229">M218</f>
        <v>273</v>
      </c>
      <c r="N219" s="27">
        <f t="shared" si="229"/>
        <v>4217.51</v>
      </c>
      <c r="O219" s="25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25"/>
      <c r="B220" s="25"/>
      <c r="C220" s="25"/>
      <c r="D220" s="25"/>
      <c r="E220" s="23"/>
      <c r="F220" s="24"/>
      <c r="G220" s="25"/>
      <c r="H220" s="25"/>
      <c r="I220" s="23"/>
      <c r="J220" s="25"/>
      <c r="K220" s="25"/>
      <c r="L220" s="25"/>
      <c r="M220" s="26">
        <f t="shared" ref="M220:N220" si="230">M219</f>
        <v>273</v>
      </c>
      <c r="N220" s="27">
        <f t="shared" si="230"/>
        <v>4217.51</v>
      </c>
      <c r="O220" s="25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25"/>
      <c r="B221" s="25"/>
      <c r="C221" s="25"/>
      <c r="D221" s="25"/>
      <c r="E221" s="23"/>
      <c r="F221" s="24"/>
      <c r="G221" s="25"/>
      <c r="H221" s="25"/>
      <c r="I221" s="23"/>
      <c r="J221" s="25"/>
      <c r="K221" s="25"/>
      <c r="L221" s="25"/>
      <c r="M221" s="26">
        <f t="shared" ref="M221:N221" si="231">M220</f>
        <v>273</v>
      </c>
      <c r="N221" s="27">
        <f t="shared" si="231"/>
        <v>4217.51</v>
      </c>
      <c r="O221" s="25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25"/>
      <c r="B222" s="25"/>
      <c r="C222" s="25"/>
      <c r="D222" s="25"/>
      <c r="E222" s="23"/>
      <c r="F222" s="24"/>
      <c r="G222" s="25"/>
      <c r="H222" s="25"/>
      <c r="I222" s="23"/>
      <c r="J222" s="25"/>
      <c r="K222" s="25"/>
      <c r="L222" s="25"/>
      <c r="M222" s="26">
        <f t="shared" ref="M222:N222" si="232">M221</f>
        <v>273</v>
      </c>
      <c r="N222" s="27">
        <f t="shared" si="232"/>
        <v>4217.51</v>
      </c>
      <c r="O222" s="25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25"/>
      <c r="B223" s="25"/>
      <c r="C223" s="25"/>
      <c r="D223" s="25"/>
      <c r="E223" s="23"/>
      <c r="F223" s="24"/>
      <c r="G223" s="25"/>
      <c r="H223" s="25"/>
      <c r="I223" s="23"/>
      <c r="J223" s="25"/>
      <c r="K223" s="25"/>
      <c r="L223" s="25"/>
      <c r="M223" s="26">
        <f t="shared" ref="M223:N223" si="233">M222</f>
        <v>273</v>
      </c>
      <c r="N223" s="27">
        <f t="shared" si="233"/>
        <v>4217.51</v>
      </c>
      <c r="O223" s="25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25"/>
      <c r="B224" s="25"/>
      <c r="C224" s="25"/>
      <c r="D224" s="25"/>
      <c r="E224" s="23"/>
      <c r="F224" s="24"/>
      <c r="G224" s="25"/>
      <c r="H224" s="25"/>
      <c r="I224" s="23"/>
      <c r="J224" s="25"/>
      <c r="K224" s="25"/>
      <c r="L224" s="25"/>
      <c r="M224" s="26">
        <f t="shared" ref="M224:N224" si="234">M223</f>
        <v>273</v>
      </c>
      <c r="N224" s="27">
        <f t="shared" si="234"/>
        <v>4217.51</v>
      </c>
      <c r="O224" s="25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25"/>
      <c r="B225" s="25"/>
      <c r="C225" s="25"/>
      <c r="D225" s="25"/>
      <c r="E225" s="23"/>
      <c r="F225" s="24"/>
      <c r="G225" s="25"/>
      <c r="H225" s="25"/>
      <c r="I225" s="23"/>
      <c r="J225" s="25"/>
      <c r="K225" s="25"/>
      <c r="L225" s="25"/>
      <c r="M225" s="26">
        <f t="shared" ref="M225:N225" si="235">M224</f>
        <v>273</v>
      </c>
      <c r="N225" s="27">
        <f t="shared" si="235"/>
        <v>4217.51</v>
      </c>
      <c r="O225" s="25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25"/>
      <c r="B226" s="25"/>
      <c r="C226" s="25"/>
      <c r="D226" s="25"/>
      <c r="E226" s="23"/>
      <c r="F226" s="24"/>
      <c r="G226" s="25"/>
      <c r="H226" s="25"/>
      <c r="I226" s="23"/>
      <c r="J226" s="25"/>
      <c r="K226" s="25"/>
      <c r="L226" s="25"/>
      <c r="M226" s="26">
        <f t="shared" ref="M226:N226" si="236">M225</f>
        <v>273</v>
      </c>
      <c r="N226" s="27">
        <f t="shared" si="236"/>
        <v>4217.51</v>
      </c>
      <c r="O226" s="25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25"/>
      <c r="B227" s="25"/>
      <c r="C227" s="25"/>
      <c r="D227" s="25"/>
      <c r="E227" s="23"/>
      <c r="F227" s="24"/>
      <c r="G227" s="25"/>
      <c r="H227" s="25"/>
      <c r="I227" s="23"/>
      <c r="J227" s="25"/>
      <c r="K227" s="25"/>
      <c r="L227" s="25"/>
      <c r="M227" s="26">
        <f t="shared" ref="M227:N227" si="237">M226</f>
        <v>273</v>
      </c>
      <c r="N227" s="27">
        <f t="shared" si="237"/>
        <v>4217.51</v>
      </c>
      <c r="O227" s="25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25"/>
      <c r="B228" s="25"/>
      <c r="C228" s="25"/>
      <c r="D228" s="25"/>
      <c r="E228" s="23"/>
      <c r="F228" s="24"/>
      <c r="G228" s="25"/>
      <c r="H228" s="25"/>
      <c r="I228" s="23"/>
      <c r="J228" s="25"/>
      <c r="K228" s="25"/>
      <c r="L228" s="25"/>
      <c r="M228" s="26">
        <f t="shared" ref="M228:N228" si="238">M227</f>
        <v>273</v>
      </c>
      <c r="N228" s="27">
        <f t="shared" si="238"/>
        <v>4217.51</v>
      </c>
      <c r="O228" s="25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25"/>
      <c r="B229" s="25"/>
      <c r="C229" s="25"/>
      <c r="D229" s="25"/>
      <c r="E229" s="23"/>
      <c r="F229" s="24"/>
      <c r="G229" s="25"/>
      <c r="H229" s="25"/>
      <c r="I229" s="23"/>
      <c r="J229" s="25"/>
      <c r="K229" s="25"/>
      <c r="L229" s="25"/>
      <c r="M229" s="26">
        <f t="shared" ref="M229:N229" si="239">M228</f>
        <v>273</v>
      </c>
      <c r="N229" s="27">
        <f t="shared" si="239"/>
        <v>4217.51</v>
      </c>
      <c r="O229" s="25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25"/>
      <c r="B230" s="25"/>
      <c r="C230" s="25"/>
      <c r="D230" s="25"/>
      <c r="E230" s="23"/>
      <c r="F230" s="24"/>
      <c r="G230" s="25"/>
      <c r="H230" s="25"/>
      <c r="I230" s="23"/>
      <c r="J230" s="25"/>
      <c r="K230" s="25"/>
      <c r="L230" s="25"/>
      <c r="M230" s="25"/>
      <c r="N230" s="27">
        <f t="shared" ref="N230:N330" si="240">N229</f>
        <v>4217.51</v>
      </c>
      <c r="O230" s="25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25"/>
      <c r="B231" s="25"/>
      <c r="C231" s="25"/>
      <c r="D231" s="25"/>
      <c r="E231" s="23"/>
      <c r="F231" s="24"/>
      <c r="G231" s="25"/>
      <c r="H231" s="25"/>
      <c r="I231" s="23"/>
      <c r="J231" s="25"/>
      <c r="K231" s="25"/>
      <c r="L231" s="25"/>
      <c r="M231" s="25"/>
      <c r="N231" s="27">
        <f t="shared" si="240"/>
        <v>4217.51</v>
      </c>
      <c r="O231" s="25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25"/>
      <c r="B232" s="25"/>
      <c r="C232" s="25"/>
      <c r="D232" s="25"/>
      <c r="E232" s="23"/>
      <c r="F232" s="24"/>
      <c r="G232" s="25"/>
      <c r="H232" s="25"/>
      <c r="I232" s="23"/>
      <c r="J232" s="25"/>
      <c r="K232" s="25"/>
      <c r="L232" s="25"/>
      <c r="M232" s="25"/>
      <c r="N232" s="27">
        <f t="shared" si="240"/>
        <v>4217.51</v>
      </c>
      <c r="O232" s="25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25"/>
      <c r="B233" s="25"/>
      <c r="C233" s="25"/>
      <c r="D233" s="25"/>
      <c r="E233" s="23"/>
      <c r="F233" s="24"/>
      <c r="G233" s="25"/>
      <c r="H233" s="25"/>
      <c r="I233" s="23"/>
      <c r="J233" s="25"/>
      <c r="K233" s="25"/>
      <c r="L233" s="25"/>
      <c r="M233" s="25"/>
      <c r="N233" s="27">
        <f t="shared" si="240"/>
        <v>4217.51</v>
      </c>
      <c r="O233" s="25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25"/>
      <c r="B234" s="25"/>
      <c r="C234" s="25"/>
      <c r="D234" s="25"/>
      <c r="E234" s="23"/>
      <c r="F234" s="24"/>
      <c r="G234" s="25"/>
      <c r="H234" s="25"/>
      <c r="I234" s="23"/>
      <c r="J234" s="25"/>
      <c r="K234" s="25"/>
      <c r="L234" s="25"/>
      <c r="M234" s="25"/>
      <c r="N234" s="27">
        <f t="shared" si="240"/>
        <v>4217.51</v>
      </c>
      <c r="O234" s="25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25"/>
      <c r="B235" s="25"/>
      <c r="C235" s="25"/>
      <c r="D235" s="25"/>
      <c r="E235" s="23"/>
      <c r="F235" s="24"/>
      <c r="G235" s="25"/>
      <c r="H235" s="25"/>
      <c r="I235" s="23"/>
      <c r="J235" s="25"/>
      <c r="K235" s="25"/>
      <c r="L235" s="25"/>
      <c r="M235" s="25"/>
      <c r="N235" s="27">
        <f t="shared" si="240"/>
        <v>4217.51</v>
      </c>
      <c r="O235" s="25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25"/>
      <c r="B236" s="25"/>
      <c r="C236" s="25"/>
      <c r="D236" s="25"/>
      <c r="E236" s="23"/>
      <c r="F236" s="24"/>
      <c r="G236" s="25"/>
      <c r="H236" s="25"/>
      <c r="I236" s="23"/>
      <c r="J236" s="25"/>
      <c r="K236" s="25"/>
      <c r="L236" s="25"/>
      <c r="M236" s="25"/>
      <c r="N236" s="27">
        <f t="shared" si="240"/>
        <v>4217.51</v>
      </c>
      <c r="O236" s="25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25"/>
      <c r="B237" s="25"/>
      <c r="C237" s="25"/>
      <c r="D237" s="25"/>
      <c r="E237" s="23"/>
      <c r="F237" s="24"/>
      <c r="G237" s="25"/>
      <c r="H237" s="25"/>
      <c r="I237" s="23"/>
      <c r="J237" s="25"/>
      <c r="K237" s="25"/>
      <c r="L237" s="25"/>
      <c r="M237" s="25"/>
      <c r="N237" s="27">
        <f t="shared" si="240"/>
        <v>4217.51</v>
      </c>
      <c r="O237" s="25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25"/>
      <c r="B238" s="25"/>
      <c r="C238" s="25"/>
      <c r="D238" s="25"/>
      <c r="E238" s="23"/>
      <c r="F238" s="24"/>
      <c r="G238" s="25"/>
      <c r="H238" s="25"/>
      <c r="I238" s="23"/>
      <c r="J238" s="25"/>
      <c r="K238" s="25"/>
      <c r="L238" s="25"/>
      <c r="M238" s="25"/>
      <c r="N238" s="27">
        <f t="shared" si="240"/>
        <v>4217.51</v>
      </c>
      <c r="O238" s="25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25"/>
      <c r="B239" s="25"/>
      <c r="C239" s="25"/>
      <c r="D239" s="25"/>
      <c r="E239" s="23"/>
      <c r="F239" s="24"/>
      <c r="G239" s="25"/>
      <c r="H239" s="25"/>
      <c r="I239" s="23"/>
      <c r="J239" s="25"/>
      <c r="K239" s="25"/>
      <c r="L239" s="25"/>
      <c r="M239" s="25"/>
      <c r="N239" s="27">
        <f t="shared" si="240"/>
        <v>4217.51</v>
      </c>
      <c r="O239" s="25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25"/>
      <c r="B240" s="25"/>
      <c r="C240" s="25"/>
      <c r="D240" s="25"/>
      <c r="E240" s="23"/>
      <c r="F240" s="24"/>
      <c r="G240" s="25"/>
      <c r="H240" s="25"/>
      <c r="I240" s="23"/>
      <c r="J240" s="25"/>
      <c r="K240" s="25"/>
      <c r="L240" s="25"/>
      <c r="M240" s="25"/>
      <c r="N240" s="27">
        <f t="shared" si="240"/>
        <v>4217.51</v>
      </c>
      <c r="O240" s="25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25"/>
      <c r="B241" s="25"/>
      <c r="C241" s="25"/>
      <c r="D241" s="25"/>
      <c r="E241" s="23"/>
      <c r="F241" s="24"/>
      <c r="G241" s="25"/>
      <c r="H241" s="25"/>
      <c r="I241" s="23"/>
      <c r="J241" s="25"/>
      <c r="K241" s="25"/>
      <c r="L241" s="25"/>
      <c r="M241" s="25"/>
      <c r="N241" s="27">
        <f t="shared" si="240"/>
        <v>4217.51</v>
      </c>
      <c r="O241" s="25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25"/>
      <c r="B242" s="25"/>
      <c r="C242" s="25"/>
      <c r="D242" s="25"/>
      <c r="E242" s="23"/>
      <c r="F242" s="24"/>
      <c r="G242" s="25"/>
      <c r="H242" s="25"/>
      <c r="I242" s="23"/>
      <c r="J242" s="25"/>
      <c r="K242" s="25"/>
      <c r="L242" s="25"/>
      <c r="M242" s="25"/>
      <c r="N242" s="27">
        <f t="shared" si="240"/>
        <v>4217.51</v>
      </c>
      <c r="O242" s="25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25"/>
      <c r="B243" s="25"/>
      <c r="C243" s="25"/>
      <c r="D243" s="25"/>
      <c r="E243" s="23"/>
      <c r="F243" s="24"/>
      <c r="G243" s="25"/>
      <c r="H243" s="25"/>
      <c r="I243" s="23"/>
      <c r="J243" s="25"/>
      <c r="K243" s="25"/>
      <c r="L243" s="25"/>
      <c r="M243" s="25"/>
      <c r="N243" s="27">
        <f t="shared" si="240"/>
        <v>4217.51</v>
      </c>
      <c r="O243" s="25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25"/>
      <c r="B244" s="25"/>
      <c r="C244" s="25"/>
      <c r="D244" s="25"/>
      <c r="E244" s="23"/>
      <c r="F244" s="24"/>
      <c r="G244" s="25"/>
      <c r="H244" s="25"/>
      <c r="I244" s="23"/>
      <c r="J244" s="25"/>
      <c r="K244" s="25"/>
      <c r="L244" s="25"/>
      <c r="M244" s="25"/>
      <c r="N244" s="27">
        <f t="shared" si="240"/>
        <v>4217.51</v>
      </c>
      <c r="O244" s="25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25"/>
      <c r="B245" s="25"/>
      <c r="C245" s="25"/>
      <c r="D245" s="25"/>
      <c r="E245" s="23"/>
      <c r="F245" s="24"/>
      <c r="G245" s="25"/>
      <c r="H245" s="25"/>
      <c r="I245" s="23"/>
      <c r="J245" s="25"/>
      <c r="K245" s="25"/>
      <c r="L245" s="25"/>
      <c r="M245" s="25"/>
      <c r="N245" s="27">
        <f t="shared" si="240"/>
        <v>4217.51</v>
      </c>
      <c r="O245" s="25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25"/>
      <c r="B246" s="25"/>
      <c r="C246" s="25"/>
      <c r="D246" s="25"/>
      <c r="E246" s="23"/>
      <c r="F246" s="24"/>
      <c r="G246" s="25"/>
      <c r="H246" s="25"/>
      <c r="I246" s="23"/>
      <c r="J246" s="25"/>
      <c r="K246" s="25"/>
      <c r="L246" s="25"/>
      <c r="M246" s="25"/>
      <c r="N246" s="27">
        <f t="shared" si="240"/>
        <v>4217.51</v>
      </c>
      <c r="O246" s="25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25"/>
      <c r="B247" s="25"/>
      <c r="C247" s="25"/>
      <c r="D247" s="25"/>
      <c r="E247" s="23"/>
      <c r="F247" s="24"/>
      <c r="G247" s="25"/>
      <c r="H247" s="25"/>
      <c r="I247" s="23"/>
      <c r="J247" s="25"/>
      <c r="K247" s="25"/>
      <c r="L247" s="25"/>
      <c r="M247" s="25"/>
      <c r="N247" s="27">
        <f t="shared" si="240"/>
        <v>4217.51</v>
      </c>
      <c r="O247" s="25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25"/>
      <c r="B248" s="25"/>
      <c r="C248" s="25"/>
      <c r="D248" s="25"/>
      <c r="E248" s="23"/>
      <c r="F248" s="24"/>
      <c r="G248" s="25"/>
      <c r="H248" s="25"/>
      <c r="I248" s="23"/>
      <c r="J248" s="25"/>
      <c r="K248" s="25"/>
      <c r="L248" s="25"/>
      <c r="M248" s="25"/>
      <c r="N248" s="27">
        <f t="shared" si="240"/>
        <v>4217.51</v>
      </c>
      <c r="O248" s="25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25"/>
      <c r="B249" s="25"/>
      <c r="C249" s="25"/>
      <c r="D249" s="25"/>
      <c r="E249" s="23"/>
      <c r="F249" s="24"/>
      <c r="G249" s="25"/>
      <c r="H249" s="25"/>
      <c r="I249" s="23"/>
      <c r="J249" s="25"/>
      <c r="K249" s="25"/>
      <c r="L249" s="25"/>
      <c r="M249" s="25"/>
      <c r="N249" s="27">
        <f t="shared" si="240"/>
        <v>4217.51</v>
      </c>
      <c r="O249" s="25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25"/>
      <c r="B250" s="25"/>
      <c r="C250" s="25"/>
      <c r="D250" s="25"/>
      <c r="E250" s="23"/>
      <c r="F250" s="24"/>
      <c r="G250" s="25"/>
      <c r="H250" s="25"/>
      <c r="I250" s="23"/>
      <c r="J250" s="25"/>
      <c r="K250" s="25"/>
      <c r="L250" s="25"/>
      <c r="M250" s="25"/>
      <c r="N250" s="27">
        <f t="shared" si="240"/>
        <v>4217.51</v>
      </c>
      <c r="O250" s="25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25"/>
      <c r="B251" s="25"/>
      <c r="C251" s="25"/>
      <c r="D251" s="25"/>
      <c r="E251" s="23"/>
      <c r="F251" s="24"/>
      <c r="G251" s="25"/>
      <c r="H251" s="25"/>
      <c r="I251" s="23"/>
      <c r="J251" s="25"/>
      <c r="K251" s="25"/>
      <c r="L251" s="25"/>
      <c r="M251" s="25"/>
      <c r="N251" s="27">
        <f t="shared" si="240"/>
        <v>4217.51</v>
      </c>
      <c r="O251" s="25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25"/>
      <c r="B252" s="25"/>
      <c r="C252" s="25"/>
      <c r="D252" s="25"/>
      <c r="E252" s="23"/>
      <c r="F252" s="24"/>
      <c r="G252" s="25"/>
      <c r="H252" s="25"/>
      <c r="I252" s="23"/>
      <c r="J252" s="25"/>
      <c r="K252" s="25"/>
      <c r="L252" s="25"/>
      <c r="M252" s="25"/>
      <c r="N252" s="27">
        <f t="shared" si="240"/>
        <v>4217.51</v>
      </c>
      <c r="O252" s="25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25"/>
      <c r="B253" s="25"/>
      <c r="C253" s="25"/>
      <c r="D253" s="25"/>
      <c r="E253" s="23"/>
      <c r="F253" s="24"/>
      <c r="G253" s="25"/>
      <c r="H253" s="25"/>
      <c r="I253" s="23"/>
      <c r="J253" s="25"/>
      <c r="K253" s="25"/>
      <c r="L253" s="25"/>
      <c r="M253" s="25"/>
      <c r="N253" s="27">
        <f t="shared" si="240"/>
        <v>4217.51</v>
      </c>
      <c r="O253" s="25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25"/>
      <c r="B254" s="25"/>
      <c r="C254" s="25"/>
      <c r="D254" s="25"/>
      <c r="E254" s="23"/>
      <c r="F254" s="24"/>
      <c r="G254" s="25"/>
      <c r="H254" s="25"/>
      <c r="I254" s="23"/>
      <c r="J254" s="25"/>
      <c r="K254" s="25"/>
      <c r="L254" s="25"/>
      <c r="M254" s="25"/>
      <c r="N254" s="27">
        <f t="shared" si="240"/>
        <v>4217.51</v>
      </c>
      <c r="O254" s="25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25"/>
      <c r="B255" s="25"/>
      <c r="C255" s="25"/>
      <c r="D255" s="25"/>
      <c r="E255" s="23"/>
      <c r="F255" s="24"/>
      <c r="G255" s="25"/>
      <c r="H255" s="25"/>
      <c r="I255" s="23"/>
      <c r="J255" s="25"/>
      <c r="K255" s="25"/>
      <c r="L255" s="25"/>
      <c r="M255" s="25"/>
      <c r="N255" s="27">
        <f t="shared" si="240"/>
        <v>4217.51</v>
      </c>
      <c r="O255" s="25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25"/>
      <c r="B256" s="25"/>
      <c r="C256" s="25"/>
      <c r="D256" s="25"/>
      <c r="E256" s="23"/>
      <c r="F256" s="24"/>
      <c r="G256" s="25"/>
      <c r="H256" s="25"/>
      <c r="I256" s="23"/>
      <c r="J256" s="25"/>
      <c r="K256" s="25"/>
      <c r="L256" s="25"/>
      <c r="M256" s="25"/>
      <c r="N256" s="27">
        <f t="shared" si="240"/>
        <v>4217.51</v>
      </c>
      <c r="O256" s="25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25"/>
      <c r="B257" s="25"/>
      <c r="C257" s="25"/>
      <c r="D257" s="25"/>
      <c r="E257" s="23"/>
      <c r="F257" s="24"/>
      <c r="G257" s="25"/>
      <c r="H257" s="25"/>
      <c r="I257" s="23"/>
      <c r="J257" s="25"/>
      <c r="K257" s="25"/>
      <c r="L257" s="25"/>
      <c r="M257" s="25"/>
      <c r="N257" s="27">
        <f t="shared" si="240"/>
        <v>4217.51</v>
      </c>
      <c r="O257" s="25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25"/>
      <c r="B258" s="25"/>
      <c r="C258" s="25"/>
      <c r="D258" s="25"/>
      <c r="E258" s="23"/>
      <c r="F258" s="24"/>
      <c r="G258" s="25"/>
      <c r="H258" s="25"/>
      <c r="I258" s="23"/>
      <c r="J258" s="25"/>
      <c r="K258" s="25"/>
      <c r="L258" s="25"/>
      <c r="M258" s="25"/>
      <c r="N258" s="27">
        <f t="shared" si="240"/>
        <v>4217.51</v>
      </c>
      <c r="O258" s="25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25"/>
      <c r="B259" s="25"/>
      <c r="C259" s="25"/>
      <c r="D259" s="25"/>
      <c r="E259" s="23"/>
      <c r="F259" s="24"/>
      <c r="G259" s="25"/>
      <c r="H259" s="25"/>
      <c r="I259" s="23"/>
      <c r="J259" s="25"/>
      <c r="K259" s="25"/>
      <c r="L259" s="25"/>
      <c r="M259" s="25"/>
      <c r="N259" s="27">
        <f t="shared" si="240"/>
        <v>4217.51</v>
      </c>
      <c r="O259" s="25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25"/>
      <c r="B260" s="25"/>
      <c r="C260" s="25"/>
      <c r="D260" s="25"/>
      <c r="E260" s="23"/>
      <c r="F260" s="24"/>
      <c r="G260" s="25"/>
      <c r="H260" s="25"/>
      <c r="I260" s="23"/>
      <c r="J260" s="25"/>
      <c r="K260" s="25"/>
      <c r="L260" s="25"/>
      <c r="M260" s="25"/>
      <c r="N260" s="27">
        <f t="shared" si="240"/>
        <v>4217.51</v>
      </c>
      <c r="O260" s="25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25"/>
      <c r="B261" s="25"/>
      <c r="C261" s="25"/>
      <c r="D261" s="25"/>
      <c r="E261" s="23"/>
      <c r="F261" s="24"/>
      <c r="G261" s="25"/>
      <c r="H261" s="25"/>
      <c r="I261" s="23"/>
      <c r="J261" s="25"/>
      <c r="K261" s="25"/>
      <c r="L261" s="25"/>
      <c r="M261" s="25"/>
      <c r="N261" s="27">
        <f t="shared" si="240"/>
        <v>4217.51</v>
      </c>
      <c r="O261" s="25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25"/>
      <c r="B262" s="25"/>
      <c r="C262" s="25"/>
      <c r="D262" s="25"/>
      <c r="E262" s="23"/>
      <c r="F262" s="24"/>
      <c r="G262" s="25"/>
      <c r="H262" s="25"/>
      <c r="I262" s="23"/>
      <c r="J262" s="25"/>
      <c r="K262" s="25"/>
      <c r="L262" s="25"/>
      <c r="M262" s="25"/>
      <c r="N262" s="27">
        <f t="shared" si="240"/>
        <v>4217.51</v>
      </c>
      <c r="O262" s="25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25"/>
      <c r="B263" s="25"/>
      <c r="C263" s="25"/>
      <c r="D263" s="25"/>
      <c r="E263" s="23"/>
      <c r="F263" s="24"/>
      <c r="G263" s="25"/>
      <c r="H263" s="25"/>
      <c r="I263" s="23"/>
      <c r="J263" s="25"/>
      <c r="K263" s="25"/>
      <c r="L263" s="25"/>
      <c r="M263" s="25"/>
      <c r="N263" s="27">
        <f t="shared" si="240"/>
        <v>4217.51</v>
      </c>
      <c r="O263" s="25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25"/>
      <c r="B264" s="25"/>
      <c r="C264" s="25"/>
      <c r="D264" s="25"/>
      <c r="E264" s="23"/>
      <c r="F264" s="24"/>
      <c r="G264" s="25"/>
      <c r="H264" s="25"/>
      <c r="I264" s="23"/>
      <c r="J264" s="25"/>
      <c r="K264" s="25"/>
      <c r="L264" s="25"/>
      <c r="M264" s="25"/>
      <c r="N264" s="27">
        <f t="shared" si="240"/>
        <v>4217.51</v>
      </c>
      <c r="O264" s="25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25"/>
      <c r="B265" s="25"/>
      <c r="C265" s="25"/>
      <c r="D265" s="25"/>
      <c r="E265" s="23"/>
      <c r="F265" s="24"/>
      <c r="G265" s="25"/>
      <c r="H265" s="25"/>
      <c r="I265" s="23"/>
      <c r="J265" s="25"/>
      <c r="K265" s="25"/>
      <c r="L265" s="25"/>
      <c r="M265" s="25"/>
      <c r="N265" s="27">
        <f t="shared" si="240"/>
        <v>4217.51</v>
      </c>
      <c r="O265" s="25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25"/>
      <c r="B266" s="25"/>
      <c r="C266" s="25"/>
      <c r="D266" s="25"/>
      <c r="E266" s="23"/>
      <c r="F266" s="24"/>
      <c r="G266" s="25"/>
      <c r="H266" s="25"/>
      <c r="I266" s="23"/>
      <c r="J266" s="25"/>
      <c r="K266" s="25"/>
      <c r="L266" s="25"/>
      <c r="M266" s="25"/>
      <c r="N266" s="27">
        <f t="shared" si="240"/>
        <v>4217.51</v>
      </c>
      <c r="O266" s="25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25"/>
      <c r="B267" s="25"/>
      <c r="C267" s="25"/>
      <c r="D267" s="25"/>
      <c r="E267" s="23"/>
      <c r="F267" s="24"/>
      <c r="G267" s="25"/>
      <c r="H267" s="25"/>
      <c r="I267" s="23"/>
      <c r="J267" s="25"/>
      <c r="K267" s="25"/>
      <c r="L267" s="25"/>
      <c r="M267" s="25"/>
      <c r="N267" s="27">
        <f t="shared" si="240"/>
        <v>4217.51</v>
      </c>
      <c r="O267" s="25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25"/>
      <c r="B268" s="25"/>
      <c r="C268" s="25"/>
      <c r="D268" s="25"/>
      <c r="E268" s="23"/>
      <c r="F268" s="24"/>
      <c r="G268" s="25"/>
      <c r="H268" s="25"/>
      <c r="I268" s="23"/>
      <c r="J268" s="25"/>
      <c r="K268" s="25"/>
      <c r="L268" s="25"/>
      <c r="M268" s="25"/>
      <c r="N268" s="27">
        <f t="shared" si="240"/>
        <v>4217.51</v>
      </c>
      <c r="O268" s="25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25"/>
      <c r="B269" s="25"/>
      <c r="C269" s="25"/>
      <c r="D269" s="25"/>
      <c r="E269" s="23"/>
      <c r="F269" s="24"/>
      <c r="G269" s="25"/>
      <c r="H269" s="25"/>
      <c r="I269" s="23"/>
      <c r="J269" s="25"/>
      <c r="K269" s="25"/>
      <c r="L269" s="25"/>
      <c r="M269" s="25"/>
      <c r="N269" s="27">
        <f t="shared" si="240"/>
        <v>4217.51</v>
      </c>
      <c r="O269" s="25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25"/>
      <c r="B270" s="25"/>
      <c r="C270" s="25"/>
      <c r="D270" s="25"/>
      <c r="E270" s="23"/>
      <c r="F270" s="24"/>
      <c r="G270" s="25"/>
      <c r="H270" s="25"/>
      <c r="I270" s="23"/>
      <c r="J270" s="25"/>
      <c r="K270" s="25"/>
      <c r="L270" s="25"/>
      <c r="M270" s="25"/>
      <c r="N270" s="27">
        <f t="shared" si="240"/>
        <v>4217.51</v>
      </c>
      <c r="O270" s="25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25"/>
      <c r="B271" s="25"/>
      <c r="C271" s="25"/>
      <c r="D271" s="25"/>
      <c r="E271" s="23"/>
      <c r="F271" s="24"/>
      <c r="G271" s="25"/>
      <c r="H271" s="25"/>
      <c r="I271" s="23"/>
      <c r="J271" s="25"/>
      <c r="K271" s="25"/>
      <c r="L271" s="25"/>
      <c r="M271" s="25"/>
      <c r="N271" s="27">
        <f t="shared" si="240"/>
        <v>4217.51</v>
      </c>
      <c r="O271" s="25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25"/>
      <c r="B272" s="25"/>
      <c r="C272" s="25"/>
      <c r="D272" s="25"/>
      <c r="E272" s="23"/>
      <c r="F272" s="24"/>
      <c r="G272" s="25"/>
      <c r="H272" s="25"/>
      <c r="I272" s="23"/>
      <c r="J272" s="25"/>
      <c r="K272" s="25"/>
      <c r="L272" s="25"/>
      <c r="M272" s="25"/>
      <c r="N272" s="27">
        <f t="shared" si="240"/>
        <v>4217.51</v>
      </c>
      <c r="O272" s="25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25"/>
      <c r="B273" s="25"/>
      <c r="C273" s="25"/>
      <c r="D273" s="25"/>
      <c r="E273" s="23"/>
      <c r="F273" s="24"/>
      <c r="G273" s="25"/>
      <c r="H273" s="25"/>
      <c r="I273" s="23"/>
      <c r="J273" s="25"/>
      <c r="K273" s="25"/>
      <c r="L273" s="25"/>
      <c r="M273" s="25"/>
      <c r="N273" s="27">
        <f t="shared" si="240"/>
        <v>4217.51</v>
      </c>
      <c r="O273" s="25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25"/>
      <c r="B274" s="25"/>
      <c r="C274" s="25"/>
      <c r="D274" s="25"/>
      <c r="E274" s="23"/>
      <c r="F274" s="24"/>
      <c r="G274" s="25"/>
      <c r="H274" s="25"/>
      <c r="I274" s="23"/>
      <c r="J274" s="25"/>
      <c r="K274" s="25"/>
      <c r="L274" s="25"/>
      <c r="M274" s="25"/>
      <c r="N274" s="27">
        <f t="shared" si="240"/>
        <v>4217.51</v>
      </c>
      <c r="O274" s="25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25"/>
      <c r="B275" s="25"/>
      <c r="C275" s="25"/>
      <c r="D275" s="25"/>
      <c r="E275" s="23"/>
      <c r="F275" s="24"/>
      <c r="G275" s="25"/>
      <c r="H275" s="25"/>
      <c r="I275" s="23"/>
      <c r="J275" s="25"/>
      <c r="K275" s="25"/>
      <c r="L275" s="25"/>
      <c r="M275" s="25"/>
      <c r="N275" s="27">
        <f t="shared" si="240"/>
        <v>4217.51</v>
      </c>
      <c r="O275" s="25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25"/>
      <c r="B276" s="25"/>
      <c r="C276" s="25"/>
      <c r="D276" s="25"/>
      <c r="E276" s="23"/>
      <c r="F276" s="24"/>
      <c r="G276" s="25"/>
      <c r="H276" s="25"/>
      <c r="I276" s="23"/>
      <c r="J276" s="25"/>
      <c r="K276" s="25"/>
      <c r="L276" s="25"/>
      <c r="M276" s="25"/>
      <c r="N276" s="27">
        <f t="shared" si="240"/>
        <v>4217.51</v>
      </c>
      <c r="O276" s="25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25"/>
      <c r="B277" s="25"/>
      <c r="C277" s="25"/>
      <c r="D277" s="25"/>
      <c r="E277" s="23"/>
      <c r="F277" s="24"/>
      <c r="G277" s="25"/>
      <c r="H277" s="25"/>
      <c r="I277" s="23"/>
      <c r="J277" s="25"/>
      <c r="K277" s="25"/>
      <c r="L277" s="25"/>
      <c r="M277" s="25"/>
      <c r="N277" s="27">
        <f t="shared" si="240"/>
        <v>4217.51</v>
      </c>
      <c r="O277" s="25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25"/>
      <c r="B278" s="25"/>
      <c r="C278" s="25"/>
      <c r="D278" s="25"/>
      <c r="E278" s="23"/>
      <c r="F278" s="24"/>
      <c r="G278" s="25"/>
      <c r="H278" s="25"/>
      <c r="I278" s="23"/>
      <c r="J278" s="25"/>
      <c r="K278" s="25"/>
      <c r="L278" s="25"/>
      <c r="M278" s="25"/>
      <c r="N278" s="27">
        <f t="shared" si="240"/>
        <v>4217.51</v>
      </c>
      <c r="O278" s="25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25"/>
      <c r="B279" s="25"/>
      <c r="C279" s="25"/>
      <c r="D279" s="25"/>
      <c r="E279" s="23"/>
      <c r="F279" s="24"/>
      <c r="G279" s="25"/>
      <c r="H279" s="25"/>
      <c r="I279" s="23"/>
      <c r="J279" s="25"/>
      <c r="K279" s="25"/>
      <c r="L279" s="25"/>
      <c r="M279" s="25"/>
      <c r="N279" s="27">
        <f t="shared" si="240"/>
        <v>4217.51</v>
      </c>
      <c r="O279" s="25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25"/>
      <c r="B280" s="25"/>
      <c r="C280" s="25"/>
      <c r="D280" s="25"/>
      <c r="E280" s="23"/>
      <c r="F280" s="24"/>
      <c r="G280" s="25"/>
      <c r="H280" s="25"/>
      <c r="I280" s="23"/>
      <c r="J280" s="25"/>
      <c r="K280" s="25"/>
      <c r="L280" s="25"/>
      <c r="M280" s="25"/>
      <c r="N280" s="27">
        <f t="shared" si="240"/>
        <v>4217.51</v>
      </c>
      <c r="O280" s="25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25"/>
      <c r="B281" s="25"/>
      <c r="C281" s="25"/>
      <c r="D281" s="25"/>
      <c r="E281" s="23"/>
      <c r="F281" s="24"/>
      <c r="G281" s="25"/>
      <c r="H281" s="25"/>
      <c r="I281" s="23"/>
      <c r="J281" s="25"/>
      <c r="K281" s="25"/>
      <c r="L281" s="25"/>
      <c r="M281" s="25"/>
      <c r="N281" s="27">
        <f t="shared" si="240"/>
        <v>4217.51</v>
      </c>
      <c r="O281" s="25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25"/>
      <c r="B282" s="25"/>
      <c r="C282" s="25"/>
      <c r="D282" s="25"/>
      <c r="E282" s="23"/>
      <c r="F282" s="24"/>
      <c r="G282" s="25"/>
      <c r="H282" s="25"/>
      <c r="I282" s="23"/>
      <c r="J282" s="25"/>
      <c r="K282" s="25"/>
      <c r="L282" s="25"/>
      <c r="M282" s="25"/>
      <c r="N282" s="27">
        <f t="shared" si="240"/>
        <v>4217.51</v>
      </c>
      <c r="O282" s="25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25"/>
      <c r="B283" s="25"/>
      <c r="C283" s="25"/>
      <c r="D283" s="25"/>
      <c r="E283" s="23"/>
      <c r="F283" s="24"/>
      <c r="G283" s="25"/>
      <c r="H283" s="25"/>
      <c r="I283" s="23"/>
      <c r="J283" s="25"/>
      <c r="K283" s="25"/>
      <c r="L283" s="25"/>
      <c r="M283" s="25"/>
      <c r="N283" s="27">
        <f t="shared" si="240"/>
        <v>4217.51</v>
      </c>
      <c r="O283" s="25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25"/>
      <c r="B284" s="25"/>
      <c r="C284" s="25"/>
      <c r="D284" s="25"/>
      <c r="E284" s="23"/>
      <c r="F284" s="24"/>
      <c r="G284" s="25"/>
      <c r="H284" s="25"/>
      <c r="I284" s="23"/>
      <c r="J284" s="25"/>
      <c r="K284" s="25"/>
      <c r="L284" s="25"/>
      <c r="M284" s="25"/>
      <c r="N284" s="27">
        <f t="shared" si="240"/>
        <v>4217.51</v>
      </c>
      <c r="O284" s="25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25"/>
      <c r="B285" s="25"/>
      <c r="C285" s="25"/>
      <c r="D285" s="25"/>
      <c r="E285" s="23"/>
      <c r="F285" s="24"/>
      <c r="G285" s="25"/>
      <c r="H285" s="25"/>
      <c r="I285" s="23"/>
      <c r="J285" s="25"/>
      <c r="K285" s="25"/>
      <c r="L285" s="25"/>
      <c r="M285" s="25"/>
      <c r="N285" s="27">
        <f t="shared" si="240"/>
        <v>4217.51</v>
      </c>
      <c r="O285" s="25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25"/>
      <c r="B286" s="25"/>
      <c r="C286" s="25"/>
      <c r="D286" s="25"/>
      <c r="E286" s="23"/>
      <c r="F286" s="24"/>
      <c r="G286" s="25"/>
      <c r="H286" s="25"/>
      <c r="I286" s="23"/>
      <c r="J286" s="25"/>
      <c r="K286" s="25"/>
      <c r="L286" s="25"/>
      <c r="M286" s="25"/>
      <c r="N286" s="27">
        <f t="shared" si="240"/>
        <v>4217.51</v>
      </c>
      <c r="O286" s="25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25"/>
      <c r="B287" s="25"/>
      <c r="C287" s="25"/>
      <c r="D287" s="25"/>
      <c r="E287" s="23"/>
      <c r="F287" s="24"/>
      <c r="G287" s="25"/>
      <c r="H287" s="25"/>
      <c r="I287" s="23"/>
      <c r="J287" s="25"/>
      <c r="K287" s="25"/>
      <c r="L287" s="25"/>
      <c r="M287" s="25"/>
      <c r="N287" s="27">
        <f t="shared" si="240"/>
        <v>4217.51</v>
      </c>
      <c r="O287" s="25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25"/>
      <c r="B288" s="25"/>
      <c r="C288" s="25"/>
      <c r="D288" s="25"/>
      <c r="E288" s="23"/>
      <c r="F288" s="24"/>
      <c r="G288" s="25"/>
      <c r="H288" s="25"/>
      <c r="I288" s="23"/>
      <c r="J288" s="25"/>
      <c r="K288" s="25"/>
      <c r="L288" s="25"/>
      <c r="M288" s="25"/>
      <c r="N288" s="27">
        <f t="shared" si="240"/>
        <v>4217.51</v>
      </c>
      <c r="O288" s="25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25"/>
      <c r="B289" s="25"/>
      <c r="C289" s="25"/>
      <c r="D289" s="25"/>
      <c r="E289" s="23"/>
      <c r="F289" s="24"/>
      <c r="G289" s="25"/>
      <c r="H289" s="25"/>
      <c r="I289" s="23"/>
      <c r="J289" s="25"/>
      <c r="K289" s="25"/>
      <c r="L289" s="25"/>
      <c r="M289" s="25"/>
      <c r="N289" s="27">
        <f t="shared" si="240"/>
        <v>4217.51</v>
      </c>
      <c r="O289" s="25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25"/>
      <c r="B290" s="25"/>
      <c r="C290" s="25"/>
      <c r="D290" s="25"/>
      <c r="E290" s="23"/>
      <c r="F290" s="24"/>
      <c r="G290" s="25"/>
      <c r="H290" s="25"/>
      <c r="I290" s="23"/>
      <c r="J290" s="25"/>
      <c r="K290" s="25"/>
      <c r="L290" s="25"/>
      <c r="M290" s="25"/>
      <c r="N290" s="27">
        <f t="shared" si="240"/>
        <v>4217.51</v>
      </c>
      <c r="O290" s="25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25"/>
      <c r="B291" s="25"/>
      <c r="C291" s="25"/>
      <c r="D291" s="25"/>
      <c r="E291" s="23"/>
      <c r="F291" s="24"/>
      <c r="G291" s="25"/>
      <c r="H291" s="25"/>
      <c r="I291" s="23"/>
      <c r="J291" s="25"/>
      <c r="K291" s="25"/>
      <c r="L291" s="25"/>
      <c r="M291" s="25"/>
      <c r="N291" s="27">
        <f t="shared" si="240"/>
        <v>4217.51</v>
      </c>
      <c r="O291" s="25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25"/>
      <c r="B292" s="25"/>
      <c r="C292" s="25"/>
      <c r="D292" s="25"/>
      <c r="E292" s="23"/>
      <c r="F292" s="24"/>
      <c r="G292" s="25"/>
      <c r="H292" s="25"/>
      <c r="I292" s="23"/>
      <c r="J292" s="25"/>
      <c r="K292" s="25"/>
      <c r="L292" s="25"/>
      <c r="M292" s="25"/>
      <c r="N292" s="27">
        <f t="shared" si="240"/>
        <v>4217.51</v>
      </c>
      <c r="O292" s="25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25"/>
      <c r="B293" s="25"/>
      <c r="C293" s="25"/>
      <c r="D293" s="25"/>
      <c r="E293" s="23"/>
      <c r="F293" s="24"/>
      <c r="G293" s="25"/>
      <c r="H293" s="25"/>
      <c r="I293" s="23"/>
      <c r="J293" s="25"/>
      <c r="K293" s="25"/>
      <c r="L293" s="25"/>
      <c r="M293" s="25"/>
      <c r="N293" s="27">
        <f t="shared" si="240"/>
        <v>4217.51</v>
      </c>
      <c r="O293" s="25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25"/>
      <c r="B294" s="25"/>
      <c r="C294" s="25"/>
      <c r="D294" s="25"/>
      <c r="E294" s="23"/>
      <c r="F294" s="24"/>
      <c r="G294" s="25"/>
      <c r="H294" s="25"/>
      <c r="I294" s="23"/>
      <c r="J294" s="25"/>
      <c r="K294" s="25"/>
      <c r="L294" s="25"/>
      <c r="M294" s="25"/>
      <c r="N294" s="27">
        <f t="shared" si="240"/>
        <v>4217.51</v>
      </c>
      <c r="O294" s="25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25"/>
      <c r="B295" s="25"/>
      <c r="C295" s="25"/>
      <c r="D295" s="25"/>
      <c r="E295" s="23"/>
      <c r="F295" s="24"/>
      <c r="G295" s="25"/>
      <c r="H295" s="25"/>
      <c r="I295" s="23"/>
      <c r="J295" s="25"/>
      <c r="K295" s="25"/>
      <c r="L295" s="25"/>
      <c r="M295" s="25"/>
      <c r="N295" s="27">
        <f t="shared" si="240"/>
        <v>4217.51</v>
      </c>
      <c r="O295" s="25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25"/>
      <c r="B296" s="25"/>
      <c r="C296" s="25"/>
      <c r="D296" s="25"/>
      <c r="E296" s="23"/>
      <c r="F296" s="24"/>
      <c r="G296" s="25"/>
      <c r="H296" s="25"/>
      <c r="I296" s="23"/>
      <c r="J296" s="25"/>
      <c r="K296" s="25"/>
      <c r="L296" s="25"/>
      <c r="M296" s="25"/>
      <c r="N296" s="27">
        <f t="shared" si="240"/>
        <v>4217.51</v>
      </c>
      <c r="O296" s="25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25"/>
      <c r="B297" s="25"/>
      <c r="C297" s="25"/>
      <c r="D297" s="25"/>
      <c r="E297" s="23"/>
      <c r="F297" s="24"/>
      <c r="G297" s="25"/>
      <c r="H297" s="25"/>
      <c r="I297" s="23"/>
      <c r="J297" s="25"/>
      <c r="K297" s="25"/>
      <c r="L297" s="25"/>
      <c r="M297" s="25"/>
      <c r="N297" s="27">
        <f t="shared" si="240"/>
        <v>4217.51</v>
      </c>
      <c r="O297" s="25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25"/>
      <c r="B298" s="25"/>
      <c r="C298" s="25"/>
      <c r="D298" s="25"/>
      <c r="E298" s="23"/>
      <c r="F298" s="24"/>
      <c r="G298" s="25"/>
      <c r="H298" s="25"/>
      <c r="I298" s="23"/>
      <c r="J298" s="25"/>
      <c r="K298" s="25"/>
      <c r="L298" s="25"/>
      <c r="M298" s="25"/>
      <c r="N298" s="27">
        <f t="shared" si="240"/>
        <v>4217.51</v>
      </c>
      <c r="O298" s="25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25"/>
      <c r="B299" s="25"/>
      <c r="C299" s="25"/>
      <c r="D299" s="25"/>
      <c r="E299" s="23"/>
      <c r="F299" s="24"/>
      <c r="G299" s="25"/>
      <c r="H299" s="25"/>
      <c r="I299" s="23"/>
      <c r="J299" s="25"/>
      <c r="K299" s="25"/>
      <c r="L299" s="25"/>
      <c r="M299" s="25"/>
      <c r="N299" s="27">
        <f t="shared" si="240"/>
        <v>4217.51</v>
      </c>
      <c r="O299" s="25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25"/>
      <c r="B300" s="25"/>
      <c r="C300" s="25"/>
      <c r="D300" s="25"/>
      <c r="E300" s="23"/>
      <c r="F300" s="24"/>
      <c r="G300" s="25"/>
      <c r="H300" s="25"/>
      <c r="I300" s="23"/>
      <c r="J300" s="25"/>
      <c r="K300" s="25"/>
      <c r="L300" s="25"/>
      <c r="M300" s="25"/>
      <c r="N300" s="27">
        <f t="shared" si="240"/>
        <v>4217.51</v>
      </c>
      <c r="O300" s="25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25"/>
      <c r="B301" s="25"/>
      <c r="C301" s="25"/>
      <c r="D301" s="25"/>
      <c r="E301" s="23"/>
      <c r="F301" s="24"/>
      <c r="G301" s="25"/>
      <c r="H301" s="25"/>
      <c r="I301" s="23"/>
      <c r="J301" s="25"/>
      <c r="K301" s="25"/>
      <c r="L301" s="25"/>
      <c r="M301" s="25"/>
      <c r="N301" s="27">
        <f t="shared" si="240"/>
        <v>4217.51</v>
      </c>
      <c r="O301" s="25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25"/>
      <c r="B302" s="25"/>
      <c r="C302" s="25"/>
      <c r="D302" s="25"/>
      <c r="E302" s="23"/>
      <c r="F302" s="24"/>
      <c r="G302" s="25"/>
      <c r="H302" s="25"/>
      <c r="I302" s="23"/>
      <c r="J302" s="25"/>
      <c r="K302" s="25"/>
      <c r="L302" s="25"/>
      <c r="M302" s="25"/>
      <c r="N302" s="27">
        <f t="shared" si="240"/>
        <v>4217.51</v>
      </c>
      <c r="O302" s="25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25"/>
      <c r="B303" s="25"/>
      <c r="C303" s="25"/>
      <c r="D303" s="25"/>
      <c r="E303" s="23"/>
      <c r="F303" s="24"/>
      <c r="G303" s="25"/>
      <c r="H303" s="25"/>
      <c r="I303" s="23"/>
      <c r="J303" s="25"/>
      <c r="K303" s="25"/>
      <c r="L303" s="25"/>
      <c r="M303" s="25"/>
      <c r="N303" s="27">
        <f t="shared" si="240"/>
        <v>4217.51</v>
      </c>
      <c r="O303" s="25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25"/>
      <c r="B304" s="25"/>
      <c r="C304" s="25"/>
      <c r="D304" s="25"/>
      <c r="E304" s="23"/>
      <c r="F304" s="24"/>
      <c r="G304" s="25"/>
      <c r="H304" s="25"/>
      <c r="I304" s="23"/>
      <c r="J304" s="25"/>
      <c r="K304" s="25"/>
      <c r="L304" s="25"/>
      <c r="M304" s="25"/>
      <c r="N304" s="27">
        <f t="shared" si="240"/>
        <v>4217.51</v>
      </c>
      <c r="O304" s="25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25"/>
      <c r="B305" s="25"/>
      <c r="C305" s="25"/>
      <c r="D305" s="25"/>
      <c r="E305" s="23"/>
      <c r="F305" s="24"/>
      <c r="G305" s="25"/>
      <c r="H305" s="25"/>
      <c r="I305" s="23"/>
      <c r="J305" s="25"/>
      <c r="K305" s="25"/>
      <c r="L305" s="25"/>
      <c r="M305" s="25"/>
      <c r="N305" s="27">
        <f t="shared" si="240"/>
        <v>4217.51</v>
      </c>
      <c r="O305" s="25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25"/>
      <c r="B306" s="25"/>
      <c r="C306" s="25"/>
      <c r="D306" s="25"/>
      <c r="E306" s="23"/>
      <c r="F306" s="24"/>
      <c r="G306" s="25"/>
      <c r="H306" s="25"/>
      <c r="I306" s="23"/>
      <c r="J306" s="25"/>
      <c r="K306" s="25"/>
      <c r="L306" s="25"/>
      <c r="M306" s="25"/>
      <c r="N306" s="27">
        <f t="shared" si="240"/>
        <v>4217.51</v>
      </c>
      <c r="O306" s="25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25"/>
      <c r="B307" s="25"/>
      <c r="C307" s="25"/>
      <c r="D307" s="25"/>
      <c r="E307" s="23"/>
      <c r="F307" s="24"/>
      <c r="G307" s="25"/>
      <c r="H307" s="25"/>
      <c r="I307" s="23"/>
      <c r="J307" s="25"/>
      <c r="K307" s="25"/>
      <c r="L307" s="25"/>
      <c r="M307" s="25"/>
      <c r="N307" s="27">
        <f t="shared" si="240"/>
        <v>4217.51</v>
      </c>
      <c r="O307" s="25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25"/>
      <c r="B308" s="25"/>
      <c r="C308" s="25"/>
      <c r="D308" s="25"/>
      <c r="E308" s="23"/>
      <c r="F308" s="24"/>
      <c r="G308" s="25"/>
      <c r="H308" s="25"/>
      <c r="I308" s="23"/>
      <c r="J308" s="25"/>
      <c r="K308" s="25"/>
      <c r="L308" s="25"/>
      <c r="M308" s="25"/>
      <c r="N308" s="27">
        <f t="shared" si="240"/>
        <v>4217.51</v>
      </c>
      <c r="O308" s="25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25"/>
      <c r="B309" s="25"/>
      <c r="C309" s="25"/>
      <c r="D309" s="25"/>
      <c r="E309" s="23"/>
      <c r="F309" s="24"/>
      <c r="G309" s="25"/>
      <c r="H309" s="25"/>
      <c r="I309" s="23"/>
      <c r="J309" s="25"/>
      <c r="K309" s="25"/>
      <c r="L309" s="25"/>
      <c r="M309" s="25"/>
      <c r="N309" s="27">
        <f t="shared" si="240"/>
        <v>4217.51</v>
      </c>
      <c r="O309" s="25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25"/>
      <c r="B310" s="25"/>
      <c r="C310" s="25"/>
      <c r="D310" s="25"/>
      <c r="E310" s="23"/>
      <c r="F310" s="24"/>
      <c r="G310" s="25"/>
      <c r="H310" s="25"/>
      <c r="I310" s="23"/>
      <c r="J310" s="25"/>
      <c r="K310" s="25"/>
      <c r="L310" s="25"/>
      <c r="M310" s="25"/>
      <c r="N310" s="27">
        <f t="shared" si="240"/>
        <v>4217.51</v>
      </c>
      <c r="O310" s="25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25"/>
      <c r="B311" s="25"/>
      <c r="C311" s="25"/>
      <c r="D311" s="25"/>
      <c r="E311" s="23"/>
      <c r="F311" s="24"/>
      <c r="G311" s="25"/>
      <c r="H311" s="25"/>
      <c r="I311" s="23"/>
      <c r="J311" s="25"/>
      <c r="K311" s="25"/>
      <c r="L311" s="25"/>
      <c r="M311" s="25"/>
      <c r="N311" s="27">
        <f t="shared" si="240"/>
        <v>4217.51</v>
      </c>
      <c r="O311" s="25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25"/>
      <c r="B312" s="25"/>
      <c r="C312" s="25"/>
      <c r="D312" s="25"/>
      <c r="E312" s="23"/>
      <c r="F312" s="24"/>
      <c r="G312" s="25"/>
      <c r="H312" s="25"/>
      <c r="I312" s="23"/>
      <c r="J312" s="25"/>
      <c r="K312" s="25"/>
      <c r="L312" s="25"/>
      <c r="M312" s="25"/>
      <c r="N312" s="27">
        <f t="shared" si="240"/>
        <v>4217.51</v>
      </c>
      <c r="O312" s="25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25"/>
      <c r="B313" s="25"/>
      <c r="C313" s="25"/>
      <c r="D313" s="25"/>
      <c r="E313" s="23"/>
      <c r="F313" s="24"/>
      <c r="G313" s="25"/>
      <c r="H313" s="25"/>
      <c r="I313" s="23"/>
      <c r="J313" s="25"/>
      <c r="K313" s="25"/>
      <c r="L313" s="25"/>
      <c r="M313" s="25"/>
      <c r="N313" s="27">
        <f t="shared" si="240"/>
        <v>4217.51</v>
      </c>
      <c r="O313" s="25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25"/>
      <c r="B314" s="25"/>
      <c r="C314" s="25"/>
      <c r="D314" s="25"/>
      <c r="E314" s="23"/>
      <c r="F314" s="24"/>
      <c r="G314" s="25"/>
      <c r="H314" s="25"/>
      <c r="I314" s="23"/>
      <c r="J314" s="25"/>
      <c r="K314" s="25"/>
      <c r="L314" s="25"/>
      <c r="M314" s="25"/>
      <c r="N314" s="27">
        <f t="shared" si="240"/>
        <v>4217.51</v>
      </c>
      <c r="O314" s="25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25"/>
      <c r="B315" s="25"/>
      <c r="C315" s="25"/>
      <c r="D315" s="25"/>
      <c r="E315" s="23"/>
      <c r="F315" s="24"/>
      <c r="G315" s="25"/>
      <c r="H315" s="25"/>
      <c r="I315" s="23"/>
      <c r="J315" s="25"/>
      <c r="K315" s="25"/>
      <c r="L315" s="25"/>
      <c r="M315" s="25"/>
      <c r="N315" s="27">
        <f t="shared" si="240"/>
        <v>4217.51</v>
      </c>
      <c r="O315" s="25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25"/>
      <c r="B316" s="25"/>
      <c r="C316" s="25"/>
      <c r="D316" s="25"/>
      <c r="E316" s="23"/>
      <c r="F316" s="24"/>
      <c r="G316" s="25"/>
      <c r="H316" s="25"/>
      <c r="I316" s="23"/>
      <c r="J316" s="25"/>
      <c r="K316" s="25"/>
      <c r="L316" s="25"/>
      <c r="M316" s="25"/>
      <c r="N316" s="27">
        <f t="shared" si="240"/>
        <v>4217.51</v>
      </c>
      <c r="O316" s="25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25"/>
      <c r="B317" s="25"/>
      <c r="C317" s="25"/>
      <c r="D317" s="25"/>
      <c r="E317" s="23"/>
      <c r="F317" s="24"/>
      <c r="G317" s="25"/>
      <c r="H317" s="25"/>
      <c r="I317" s="23"/>
      <c r="J317" s="25"/>
      <c r="K317" s="25"/>
      <c r="L317" s="25"/>
      <c r="M317" s="25"/>
      <c r="N317" s="27">
        <f t="shared" si="240"/>
        <v>4217.51</v>
      </c>
      <c r="O317" s="25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25"/>
      <c r="B318" s="25"/>
      <c r="C318" s="25"/>
      <c r="D318" s="25"/>
      <c r="E318" s="23"/>
      <c r="F318" s="24"/>
      <c r="G318" s="25"/>
      <c r="H318" s="25"/>
      <c r="I318" s="23"/>
      <c r="J318" s="25"/>
      <c r="K318" s="25"/>
      <c r="L318" s="25"/>
      <c r="M318" s="25"/>
      <c r="N318" s="27">
        <f t="shared" si="240"/>
        <v>4217.51</v>
      </c>
      <c r="O318" s="25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25"/>
      <c r="B319" s="25"/>
      <c r="C319" s="25"/>
      <c r="D319" s="25"/>
      <c r="E319" s="23"/>
      <c r="F319" s="24"/>
      <c r="G319" s="25"/>
      <c r="H319" s="25"/>
      <c r="I319" s="23"/>
      <c r="J319" s="25"/>
      <c r="K319" s="25"/>
      <c r="L319" s="25"/>
      <c r="M319" s="25"/>
      <c r="N319" s="27">
        <f t="shared" si="240"/>
        <v>4217.51</v>
      </c>
      <c r="O319" s="25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25"/>
      <c r="B320" s="25"/>
      <c r="C320" s="25"/>
      <c r="D320" s="25"/>
      <c r="E320" s="23"/>
      <c r="F320" s="24"/>
      <c r="G320" s="25"/>
      <c r="H320" s="25"/>
      <c r="I320" s="23"/>
      <c r="J320" s="25"/>
      <c r="K320" s="25"/>
      <c r="L320" s="25"/>
      <c r="M320" s="25"/>
      <c r="N320" s="27">
        <f t="shared" si="240"/>
        <v>4217.51</v>
      </c>
      <c r="O320" s="25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25"/>
      <c r="B321" s="25"/>
      <c r="C321" s="25"/>
      <c r="D321" s="25"/>
      <c r="E321" s="23"/>
      <c r="F321" s="24"/>
      <c r="G321" s="25"/>
      <c r="H321" s="25"/>
      <c r="I321" s="23"/>
      <c r="J321" s="25"/>
      <c r="K321" s="25"/>
      <c r="L321" s="25"/>
      <c r="M321" s="25"/>
      <c r="N321" s="27">
        <f t="shared" si="240"/>
        <v>4217.51</v>
      </c>
      <c r="O321" s="25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25"/>
      <c r="B322" s="25"/>
      <c r="C322" s="25"/>
      <c r="D322" s="25"/>
      <c r="E322" s="23"/>
      <c r="F322" s="24"/>
      <c r="G322" s="25"/>
      <c r="H322" s="25"/>
      <c r="I322" s="23"/>
      <c r="J322" s="25"/>
      <c r="K322" s="25"/>
      <c r="L322" s="25"/>
      <c r="M322" s="25"/>
      <c r="N322" s="27">
        <f t="shared" si="240"/>
        <v>4217.51</v>
      </c>
      <c r="O322" s="25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25"/>
      <c r="B323" s="25"/>
      <c r="C323" s="25"/>
      <c r="D323" s="25"/>
      <c r="E323" s="23"/>
      <c r="F323" s="24"/>
      <c r="G323" s="25"/>
      <c r="H323" s="25"/>
      <c r="I323" s="23"/>
      <c r="J323" s="25"/>
      <c r="K323" s="25"/>
      <c r="L323" s="25"/>
      <c r="M323" s="25"/>
      <c r="N323" s="27">
        <f t="shared" si="240"/>
        <v>4217.51</v>
      </c>
      <c r="O323" s="25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25"/>
      <c r="B324" s="25"/>
      <c r="C324" s="25"/>
      <c r="D324" s="25"/>
      <c r="E324" s="23"/>
      <c r="F324" s="24"/>
      <c r="G324" s="25"/>
      <c r="H324" s="25"/>
      <c r="I324" s="23"/>
      <c r="J324" s="25"/>
      <c r="K324" s="25"/>
      <c r="L324" s="25"/>
      <c r="M324" s="25"/>
      <c r="N324" s="27">
        <f t="shared" si="240"/>
        <v>4217.51</v>
      </c>
      <c r="O324" s="25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25"/>
      <c r="B325" s="25"/>
      <c r="C325" s="25"/>
      <c r="D325" s="25"/>
      <c r="E325" s="23"/>
      <c r="F325" s="24"/>
      <c r="G325" s="25"/>
      <c r="H325" s="25"/>
      <c r="I325" s="23"/>
      <c r="J325" s="25"/>
      <c r="K325" s="25"/>
      <c r="L325" s="25"/>
      <c r="M325" s="25"/>
      <c r="N325" s="27">
        <f t="shared" si="240"/>
        <v>4217.51</v>
      </c>
      <c r="O325" s="25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25"/>
      <c r="B326" s="25"/>
      <c r="C326" s="25"/>
      <c r="D326" s="25"/>
      <c r="E326" s="23"/>
      <c r="F326" s="24"/>
      <c r="G326" s="25"/>
      <c r="H326" s="25"/>
      <c r="I326" s="23"/>
      <c r="J326" s="25"/>
      <c r="K326" s="25"/>
      <c r="L326" s="25"/>
      <c r="M326" s="25"/>
      <c r="N326" s="27">
        <f t="shared" si="240"/>
        <v>4217.51</v>
      </c>
      <c r="O326" s="25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25"/>
      <c r="B327" s="25"/>
      <c r="C327" s="25"/>
      <c r="D327" s="25"/>
      <c r="E327" s="23"/>
      <c r="F327" s="24"/>
      <c r="G327" s="25"/>
      <c r="H327" s="25"/>
      <c r="I327" s="23"/>
      <c r="J327" s="25"/>
      <c r="K327" s="25"/>
      <c r="L327" s="25"/>
      <c r="M327" s="25"/>
      <c r="N327" s="27">
        <f t="shared" si="240"/>
        <v>4217.51</v>
      </c>
      <c r="O327" s="25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25"/>
      <c r="B328" s="25"/>
      <c r="C328" s="25"/>
      <c r="D328" s="25"/>
      <c r="E328" s="23"/>
      <c r="F328" s="24"/>
      <c r="G328" s="25"/>
      <c r="H328" s="25"/>
      <c r="I328" s="23"/>
      <c r="J328" s="25"/>
      <c r="K328" s="25"/>
      <c r="L328" s="25"/>
      <c r="M328" s="25"/>
      <c r="N328" s="27">
        <f t="shared" si="240"/>
        <v>4217.51</v>
      </c>
      <c r="O328" s="25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25"/>
      <c r="B329" s="25"/>
      <c r="C329" s="25"/>
      <c r="D329" s="25"/>
      <c r="E329" s="23"/>
      <c r="F329" s="24"/>
      <c r="G329" s="25"/>
      <c r="H329" s="25"/>
      <c r="I329" s="23"/>
      <c r="J329" s="25"/>
      <c r="K329" s="25"/>
      <c r="L329" s="25"/>
      <c r="M329" s="25"/>
      <c r="N329" s="27">
        <f t="shared" si="240"/>
        <v>4217.51</v>
      </c>
      <c r="O329" s="25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25"/>
      <c r="B330" s="25"/>
      <c r="C330" s="25"/>
      <c r="D330" s="25"/>
      <c r="E330" s="23"/>
      <c r="F330" s="24"/>
      <c r="G330" s="25"/>
      <c r="H330" s="25"/>
      <c r="I330" s="23"/>
      <c r="J330" s="25"/>
      <c r="K330" s="25"/>
      <c r="L330" s="25"/>
      <c r="M330" s="25"/>
      <c r="N330" s="27">
        <f t="shared" si="240"/>
        <v>4217.51</v>
      </c>
      <c r="O330" s="25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33"/>
      <c r="F331" s="10"/>
      <c r="G331" s="9"/>
      <c r="H331" s="9"/>
      <c r="I331" s="33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33"/>
      <c r="F332" s="10"/>
      <c r="G332" s="9"/>
      <c r="H332" s="9"/>
      <c r="I332" s="33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33"/>
      <c r="F333" s="10"/>
      <c r="G333" s="9"/>
      <c r="H333" s="9"/>
      <c r="I333" s="33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33"/>
      <c r="F334" s="10"/>
      <c r="G334" s="9"/>
      <c r="H334" s="9"/>
      <c r="I334" s="33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33"/>
      <c r="F335" s="10"/>
      <c r="G335" s="9"/>
      <c r="H335" s="9"/>
      <c r="I335" s="33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33"/>
      <c r="F336" s="10"/>
      <c r="G336" s="9"/>
      <c r="H336" s="9"/>
      <c r="I336" s="33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33"/>
      <c r="F337" s="10"/>
      <c r="G337" s="9"/>
      <c r="H337" s="9"/>
      <c r="I337" s="33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33"/>
      <c r="F338" s="10"/>
      <c r="G338" s="9"/>
      <c r="H338" s="9"/>
      <c r="I338" s="33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33"/>
      <c r="F339" s="10"/>
      <c r="G339" s="9"/>
      <c r="H339" s="9"/>
      <c r="I339" s="33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33"/>
      <c r="F340" s="10"/>
      <c r="G340" s="9"/>
      <c r="H340" s="9"/>
      <c r="I340" s="33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33"/>
      <c r="F341" s="10"/>
      <c r="G341" s="9"/>
      <c r="H341" s="9"/>
      <c r="I341" s="33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33"/>
      <c r="F342" s="10"/>
      <c r="G342" s="9"/>
      <c r="H342" s="9"/>
      <c r="I342" s="33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33"/>
      <c r="F343" s="10"/>
      <c r="G343" s="9"/>
      <c r="H343" s="9"/>
      <c r="I343" s="33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33"/>
      <c r="F344" s="10"/>
      <c r="G344" s="9"/>
      <c r="H344" s="9"/>
      <c r="I344" s="33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33"/>
      <c r="F345" s="10"/>
      <c r="G345" s="9"/>
      <c r="H345" s="9"/>
      <c r="I345" s="33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33"/>
      <c r="F346" s="10"/>
      <c r="G346" s="9"/>
      <c r="H346" s="9"/>
      <c r="I346" s="33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33"/>
      <c r="F347" s="10"/>
      <c r="G347" s="9"/>
      <c r="H347" s="9"/>
      <c r="I347" s="33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33"/>
      <c r="F348" s="10"/>
      <c r="G348" s="9"/>
      <c r="H348" s="9"/>
      <c r="I348" s="33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33"/>
      <c r="F349" s="10"/>
      <c r="G349" s="9"/>
      <c r="H349" s="9"/>
      <c r="I349" s="33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33"/>
      <c r="F350" s="10"/>
      <c r="G350" s="9"/>
      <c r="H350" s="9"/>
      <c r="I350" s="33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33"/>
      <c r="F351" s="10"/>
      <c r="G351" s="9"/>
      <c r="H351" s="9"/>
      <c r="I351" s="33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33"/>
      <c r="F352" s="10"/>
      <c r="G352" s="9"/>
      <c r="H352" s="9"/>
      <c r="I352" s="33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33"/>
      <c r="F353" s="10"/>
      <c r="G353" s="9"/>
      <c r="H353" s="9"/>
      <c r="I353" s="33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33"/>
      <c r="F354" s="10"/>
      <c r="G354" s="9"/>
      <c r="H354" s="9"/>
      <c r="I354" s="33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33"/>
      <c r="F355" s="10"/>
      <c r="G355" s="9"/>
      <c r="H355" s="9"/>
      <c r="I355" s="33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33"/>
      <c r="F356" s="10"/>
      <c r="G356" s="9"/>
      <c r="H356" s="9"/>
      <c r="I356" s="33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33"/>
      <c r="F357" s="10"/>
      <c r="G357" s="9"/>
      <c r="H357" s="9"/>
      <c r="I357" s="33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33"/>
      <c r="F358" s="10"/>
      <c r="G358" s="9"/>
      <c r="H358" s="9"/>
      <c r="I358" s="33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33"/>
      <c r="F359" s="10"/>
      <c r="G359" s="9"/>
      <c r="H359" s="9"/>
      <c r="I359" s="33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33"/>
      <c r="F360" s="10"/>
      <c r="G360" s="9"/>
      <c r="H360" s="9"/>
      <c r="I360" s="33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33"/>
      <c r="F361" s="10"/>
      <c r="G361" s="9"/>
      <c r="H361" s="9"/>
      <c r="I361" s="33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33"/>
      <c r="F362" s="10"/>
      <c r="G362" s="9"/>
      <c r="H362" s="9"/>
      <c r="I362" s="33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33"/>
      <c r="F363" s="10"/>
      <c r="G363" s="9"/>
      <c r="H363" s="9"/>
      <c r="I363" s="33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33"/>
      <c r="F364" s="10"/>
      <c r="G364" s="9"/>
      <c r="H364" s="9"/>
      <c r="I364" s="33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33"/>
      <c r="F365" s="10"/>
      <c r="G365" s="9"/>
      <c r="H365" s="9"/>
      <c r="I365" s="33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33"/>
      <c r="F366" s="10"/>
      <c r="G366" s="9"/>
      <c r="H366" s="9"/>
      <c r="I366" s="33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33"/>
      <c r="F367" s="10"/>
      <c r="G367" s="9"/>
      <c r="H367" s="9"/>
      <c r="I367" s="33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33"/>
      <c r="F368" s="10"/>
      <c r="G368" s="9"/>
      <c r="H368" s="9"/>
      <c r="I368" s="33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33"/>
      <c r="F369" s="10"/>
      <c r="G369" s="9"/>
      <c r="H369" s="9"/>
      <c r="I369" s="33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33"/>
      <c r="F370" s="10"/>
      <c r="G370" s="9"/>
      <c r="H370" s="9"/>
      <c r="I370" s="33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33"/>
      <c r="F371" s="10"/>
      <c r="G371" s="9"/>
      <c r="H371" s="9"/>
      <c r="I371" s="33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33"/>
      <c r="F372" s="10"/>
      <c r="G372" s="9"/>
      <c r="H372" s="9"/>
      <c r="I372" s="33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33"/>
      <c r="F373" s="10"/>
      <c r="G373" s="9"/>
      <c r="H373" s="9"/>
      <c r="I373" s="33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33"/>
      <c r="F374" s="10"/>
      <c r="G374" s="9"/>
      <c r="H374" s="9"/>
      <c r="I374" s="33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33"/>
      <c r="F375" s="10"/>
      <c r="G375" s="9"/>
      <c r="H375" s="9"/>
      <c r="I375" s="33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33"/>
      <c r="F376" s="10"/>
      <c r="G376" s="9"/>
      <c r="H376" s="9"/>
      <c r="I376" s="33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33"/>
      <c r="F377" s="10"/>
      <c r="G377" s="9"/>
      <c r="H377" s="9"/>
      <c r="I377" s="33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33"/>
      <c r="F378" s="10"/>
      <c r="G378" s="9"/>
      <c r="H378" s="9"/>
      <c r="I378" s="33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33"/>
      <c r="F379" s="10"/>
      <c r="G379" s="9"/>
      <c r="H379" s="9"/>
      <c r="I379" s="33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33"/>
      <c r="F380" s="10"/>
      <c r="G380" s="9"/>
      <c r="H380" s="9"/>
      <c r="I380" s="33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33"/>
      <c r="F381" s="10"/>
      <c r="G381" s="9"/>
      <c r="H381" s="9"/>
      <c r="I381" s="33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33"/>
      <c r="F382" s="10"/>
      <c r="G382" s="9"/>
      <c r="H382" s="9"/>
      <c r="I382" s="33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33"/>
      <c r="F383" s="10"/>
      <c r="G383" s="9"/>
      <c r="H383" s="9"/>
      <c r="I383" s="33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33"/>
      <c r="F384" s="10"/>
      <c r="G384" s="9"/>
      <c r="H384" s="9"/>
      <c r="I384" s="33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33"/>
      <c r="F385" s="10"/>
      <c r="G385" s="9"/>
      <c r="H385" s="9"/>
      <c r="I385" s="33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33"/>
      <c r="F386" s="10"/>
      <c r="G386" s="9"/>
      <c r="H386" s="9"/>
      <c r="I386" s="33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33"/>
      <c r="F387" s="10"/>
      <c r="G387" s="9"/>
      <c r="H387" s="9"/>
      <c r="I387" s="33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33"/>
      <c r="F388" s="10"/>
      <c r="G388" s="9"/>
      <c r="H388" s="9"/>
      <c r="I388" s="33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33"/>
      <c r="F389" s="10"/>
      <c r="G389" s="9"/>
      <c r="H389" s="9"/>
      <c r="I389" s="33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33"/>
      <c r="F390" s="10"/>
      <c r="G390" s="9"/>
      <c r="H390" s="9"/>
      <c r="I390" s="33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33"/>
      <c r="F391" s="10"/>
      <c r="G391" s="9"/>
      <c r="H391" s="9"/>
      <c r="I391" s="33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33"/>
      <c r="F392" s="10"/>
      <c r="G392" s="9"/>
      <c r="H392" s="9"/>
      <c r="I392" s="33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33"/>
      <c r="F393" s="10"/>
      <c r="G393" s="9"/>
      <c r="H393" s="9"/>
      <c r="I393" s="33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33"/>
      <c r="F394" s="10"/>
      <c r="G394" s="9"/>
      <c r="H394" s="9"/>
      <c r="I394" s="33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33"/>
      <c r="F395" s="10"/>
      <c r="G395" s="9"/>
      <c r="H395" s="9"/>
      <c r="I395" s="33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33"/>
      <c r="F396" s="10"/>
      <c r="G396" s="9"/>
      <c r="H396" s="9"/>
      <c r="I396" s="33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33"/>
      <c r="F397" s="10"/>
      <c r="G397" s="9"/>
      <c r="H397" s="9"/>
      <c r="I397" s="33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33"/>
      <c r="F398" s="10"/>
      <c r="G398" s="9"/>
      <c r="H398" s="9"/>
      <c r="I398" s="33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33"/>
      <c r="F399" s="10"/>
      <c r="G399" s="9"/>
      <c r="H399" s="9"/>
      <c r="I399" s="33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33"/>
      <c r="F400" s="10"/>
      <c r="G400" s="9"/>
      <c r="H400" s="9"/>
      <c r="I400" s="33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33"/>
      <c r="F401" s="10"/>
      <c r="G401" s="9"/>
      <c r="H401" s="9"/>
      <c r="I401" s="33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33"/>
      <c r="F402" s="10"/>
      <c r="G402" s="9"/>
      <c r="H402" s="9"/>
      <c r="I402" s="33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33"/>
      <c r="F403" s="10"/>
      <c r="G403" s="9"/>
      <c r="H403" s="9"/>
      <c r="I403" s="33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33"/>
      <c r="F404" s="10"/>
      <c r="G404" s="9"/>
      <c r="H404" s="9"/>
      <c r="I404" s="33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33"/>
      <c r="F405" s="10"/>
      <c r="G405" s="9"/>
      <c r="H405" s="9"/>
      <c r="I405" s="33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33"/>
      <c r="F406" s="10"/>
      <c r="G406" s="9"/>
      <c r="H406" s="9"/>
      <c r="I406" s="33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33"/>
      <c r="F407" s="10"/>
      <c r="G407" s="9"/>
      <c r="H407" s="9"/>
      <c r="I407" s="33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33"/>
      <c r="F408" s="10"/>
      <c r="G408" s="9"/>
      <c r="H408" s="9"/>
      <c r="I408" s="33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33"/>
      <c r="F409" s="10"/>
      <c r="G409" s="9"/>
      <c r="H409" s="9"/>
      <c r="I409" s="33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33"/>
      <c r="F410" s="10"/>
      <c r="G410" s="9"/>
      <c r="H410" s="9"/>
      <c r="I410" s="33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33"/>
      <c r="F411" s="10"/>
      <c r="G411" s="9"/>
      <c r="H411" s="9"/>
      <c r="I411" s="33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33"/>
      <c r="F412" s="10"/>
      <c r="G412" s="9"/>
      <c r="H412" s="9"/>
      <c r="I412" s="33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33"/>
      <c r="F413" s="10"/>
      <c r="G413" s="9"/>
      <c r="H413" s="9"/>
      <c r="I413" s="33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33"/>
      <c r="F414" s="10"/>
      <c r="G414" s="9"/>
      <c r="H414" s="9"/>
      <c r="I414" s="33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33"/>
      <c r="F415" s="10"/>
      <c r="G415" s="9"/>
      <c r="H415" s="9"/>
      <c r="I415" s="33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33"/>
      <c r="F416" s="10"/>
      <c r="G416" s="9"/>
      <c r="H416" s="9"/>
      <c r="I416" s="33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33"/>
      <c r="F417" s="10"/>
      <c r="G417" s="9"/>
      <c r="H417" s="9"/>
      <c r="I417" s="33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33"/>
      <c r="F418" s="10"/>
      <c r="G418" s="9"/>
      <c r="H418" s="9"/>
      <c r="I418" s="33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33"/>
      <c r="F419" s="10"/>
      <c r="G419" s="9"/>
      <c r="H419" s="9"/>
      <c r="I419" s="33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33"/>
      <c r="F420" s="10"/>
      <c r="G420" s="9"/>
      <c r="H420" s="9"/>
      <c r="I420" s="33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33"/>
      <c r="F421" s="10"/>
      <c r="G421" s="9"/>
      <c r="H421" s="9"/>
      <c r="I421" s="33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33"/>
      <c r="F422" s="10"/>
      <c r="G422" s="9"/>
      <c r="H422" s="9"/>
      <c r="I422" s="33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33"/>
      <c r="F423" s="10"/>
      <c r="G423" s="9"/>
      <c r="H423" s="9"/>
      <c r="I423" s="33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33"/>
      <c r="F424" s="10"/>
      <c r="G424" s="9"/>
      <c r="H424" s="9"/>
      <c r="I424" s="33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33"/>
      <c r="F425" s="10"/>
      <c r="G425" s="9"/>
      <c r="H425" s="9"/>
      <c r="I425" s="33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33"/>
      <c r="F426" s="10"/>
      <c r="G426" s="9"/>
      <c r="H426" s="9"/>
      <c r="I426" s="33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33"/>
      <c r="F427" s="10"/>
      <c r="G427" s="9"/>
      <c r="H427" s="9"/>
      <c r="I427" s="33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33"/>
      <c r="F428" s="10"/>
      <c r="G428" s="9"/>
      <c r="H428" s="9"/>
      <c r="I428" s="33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33"/>
      <c r="F429" s="10"/>
      <c r="G429" s="9"/>
      <c r="H429" s="9"/>
      <c r="I429" s="33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33"/>
      <c r="F430" s="10"/>
      <c r="G430" s="9"/>
      <c r="H430" s="9"/>
      <c r="I430" s="33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33"/>
      <c r="F431" s="10"/>
      <c r="G431" s="9"/>
      <c r="H431" s="9"/>
      <c r="I431" s="33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33"/>
      <c r="F432" s="10"/>
      <c r="G432" s="9"/>
      <c r="H432" s="9"/>
      <c r="I432" s="33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33"/>
      <c r="F433" s="10"/>
      <c r="G433" s="9"/>
      <c r="H433" s="9"/>
      <c r="I433" s="33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33"/>
      <c r="F434" s="10"/>
      <c r="G434" s="9"/>
      <c r="H434" s="9"/>
      <c r="I434" s="33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33"/>
      <c r="F435" s="10"/>
      <c r="G435" s="9"/>
      <c r="H435" s="9"/>
      <c r="I435" s="33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33"/>
      <c r="F436" s="10"/>
      <c r="G436" s="9"/>
      <c r="H436" s="9"/>
      <c r="I436" s="33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33"/>
      <c r="F437" s="10"/>
      <c r="G437" s="9"/>
      <c r="H437" s="9"/>
      <c r="I437" s="33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33"/>
      <c r="F438" s="10"/>
      <c r="G438" s="9"/>
      <c r="H438" s="9"/>
      <c r="I438" s="33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33"/>
      <c r="F439" s="10"/>
      <c r="G439" s="9"/>
      <c r="H439" s="9"/>
      <c r="I439" s="33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33"/>
      <c r="F440" s="10"/>
      <c r="G440" s="9"/>
      <c r="H440" s="9"/>
      <c r="I440" s="33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33"/>
      <c r="F441" s="10"/>
      <c r="G441" s="9"/>
      <c r="H441" s="9"/>
      <c r="I441" s="33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33"/>
      <c r="F442" s="10"/>
      <c r="G442" s="9"/>
      <c r="H442" s="9"/>
      <c r="I442" s="33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33"/>
      <c r="F443" s="10"/>
      <c r="G443" s="9"/>
      <c r="H443" s="9"/>
      <c r="I443" s="33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33"/>
      <c r="F444" s="10"/>
      <c r="G444" s="9"/>
      <c r="H444" s="9"/>
      <c r="I444" s="33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33"/>
      <c r="F445" s="10"/>
      <c r="G445" s="9"/>
      <c r="H445" s="9"/>
      <c r="I445" s="33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33"/>
      <c r="F446" s="10"/>
      <c r="G446" s="9"/>
      <c r="H446" s="9"/>
      <c r="I446" s="33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33"/>
      <c r="F447" s="10"/>
      <c r="G447" s="9"/>
      <c r="H447" s="9"/>
      <c r="I447" s="33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33"/>
      <c r="F448" s="10"/>
      <c r="G448" s="9"/>
      <c r="H448" s="9"/>
      <c r="I448" s="33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33"/>
      <c r="F449" s="10"/>
      <c r="G449" s="9"/>
      <c r="H449" s="9"/>
      <c r="I449" s="33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33"/>
      <c r="F450" s="10"/>
      <c r="G450" s="9"/>
      <c r="H450" s="9"/>
      <c r="I450" s="33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33"/>
      <c r="F451" s="10"/>
      <c r="G451" s="9"/>
      <c r="H451" s="9"/>
      <c r="I451" s="33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33"/>
      <c r="F452" s="10"/>
      <c r="G452" s="9"/>
      <c r="H452" s="9"/>
      <c r="I452" s="33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33"/>
      <c r="F453" s="10"/>
      <c r="G453" s="9"/>
      <c r="H453" s="9"/>
      <c r="I453" s="33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33"/>
      <c r="F454" s="10"/>
      <c r="G454" s="9"/>
      <c r="H454" s="9"/>
      <c r="I454" s="33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33"/>
      <c r="F455" s="10"/>
      <c r="G455" s="9"/>
      <c r="H455" s="9"/>
      <c r="I455" s="33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33"/>
      <c r="F456" s="10"/>
      <c r="G456" s="9"/>
      <c r="H456" s="9"/>
      <c r="I456" s="33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33"/>
      <c r="F457" s="10"/>
      <c r="G457" s="9"/>
      <c r="H457" s="9"/>
      <c r="I457" s="33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33"/>
      <c r="F458" s="10"/>
      <c r="G458" s="9"/>
      <c r="H458" s="9"/>
      <c r="I458" s="33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33"/>
      <c r="F459" s="10"/>
      <c r="G459" s="9"/>
      <c r="H459" s="9"/>
      <c r="I459" s="33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33"/>
      <c r="F460" s="10"/>
      <c r="G460" s="9"/>
      <c r="H460" s="9"/>
      <c r="I460" s="33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33"/>
      <c r="F461" s="10"/>
      <c r="G461" s="9"/>
      <c r="H461" s="9"/>
      <c r="I461" s="33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33"/>
      <c r="F462" s="10"/>
      <c r="G462" s="9"/>
      <c r="H462" s="9"/>
      <c r="I462" s="33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33"/>
      <c r="F463" s="10"/>
      <c r="G463" s="9"/>
      <c r="H463" s="9"/>
      <c r="I463" s="33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33"/>
      <c r="F464" s="10"/>
      <c r="G464" s="9"/>
      <c r="H464" s="9"/>
      <c r="I464" s="33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33"/>
      <c r="F465" s="10"/>
      <c r="G465" s="9"/>
      <c r="H465" s="9"/>
      <c r="I465" s="33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33"/>
      <c r="F466" s="10"/>
      <c r="G466" s="9"/>
      <c r="H466" s="9"/>
      <c r="I466" s="33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33"/>
      <c r="F467" s="10"/>
      <c r="G467" s="9"/>
      <c r="H467" s="9"/>
      <c r="I467" s="33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33"/>
      <c r="F468" s="10"/>
      <c r="G468" s="9"/>
      <c r="H468" s="9"/>
      <c r="I468" s="33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33"/>
      <c r="F469" s="10"/>
      <c r="G469" s="9"/>
      <c r="H469" s="9"/>
      <c r="I469" s="33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33"/>
      <c r="F470" s="10"/>
      <c r="G470" s="9"/>
      <c r="H470" s="9"/>
      <c r="I470" s="33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33"/>
      <c r="F471" s="10"/>
      <c r="G471" s="9"/>
      <c r="H471" s="9"/>
      <c r="I471" s="33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33"/>
      <c r="F472" s="10"/>
      <c r="G472" s="9"/>
      <c r="H472" s="9"/>
      <c r="I472" s="33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33"/>
      <c r="F473" s="10"/>
      <c r="G473" s="9"/>
      <c r="H473" s="9"/>
      <c r="I473" s="33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33"/>
      <c r="F474" s="10"/>
      <c r="G474" s="9"/>
      <c r="H474" s="9"/>
      <c r="I474" s="33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33"/>
      <c r="F475" s="10"/>
      <c r="G475" s="9"/>
      <c r="H475" s="9"/>
      <c r="I475" s="33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33"/>
      <c r="F476" s="10"/>
      <c r="G476" s="9"/>
      <c r="H476" s="9"/>
      <c r="I476" s="33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33"/>
      <c r="F477" s="10"/>
      <c r="G477" s="9"/>
      <c r="H477" s="9"/>
      <c r="I477" s="33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33"/>
      <c r="F478" s="10"/>
      <c r="G478" s="9"/>
      <c r="H478" s="9"/>
      <c r="I478" s="33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33"/>
      <c r="F479" s="10"/>
      <c r="G479" s="9"/>
      <c r="H479" s="9"/>
      <c r="I479" s="33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33"/>
      <c r="F480" s="10"/>
      <c r="G480" s="9"/>
      <c r="H480" s="9"/>
      <c r="I480" s="33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33"/>
      <c r="F481" s="10"/>
      <c r="G481" s="9"/>
      <c r="H481" s="9"/>
      <c r="I481" s="33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33"/>
      <c r="F482" s="10"/>
      <c r="G482" s="9"/>
      <c r="H482" s="9"/>
      <c r="I482" s="33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33"/>
      <c r="F483" s="10"/>
      <c r="G483" s="9"/>
      <c r="H483" s="9"/>
      <c r="I483" s="33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33"/>
      <c r="F484" s="10"/>
      <c r="G484" s="9"/>
      <c r="H484" s="9"/>
      <c r="I484" s="33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33"/>
      <c r="F485" s="10"/>
      <c r="G485" s="9"/>
      <c r="H485" s="9"/>
      <c r="I485" s="33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33"/>
      <c r="F486" s="10"/>
      <c r="G486" s="9"/>
      <c r="H486" s="9"/>
      <c r="I486" s="33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33"/>
      <c r="F487" s="10"/>
      <c r="G487" s="9"/>
      <c r="H487" s="9"/>
      <c r="I487" s="33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33"/>
      <c r="F488" s="10"/>
      <c r="G488" s="9"/>
      <c r="H488" s="9"/>
      <c r="I488" s="33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33"/>
      <c r="F489" s="10"/>
      <c r="G489" s="9"/>
      <c r="H489" s="9"/>
      <c r="I489" s="33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33"/>
      <c r="F490" s="10"/>
      <c r="G490" s="9"/>
      <c r="H490" s="9"/>
      <c r="I490" s="33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33"/>
      <c r="F491" s="10"/>
      <c r="G491" s="9"/>
      <c r="H491" s="9"/>
      <c r="I491" s="33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33"/>
      <c r="F492" s="10"/>
      <c r="G492" s="9"/>
      <c r="H492" s="9"/>
      <c r="I492" s="33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33"/>
      <c r="F493" s="10"/>
      <c r="G493" s="9"/>
      <c r="H493" s="9"/>
      <c r="I493" s="33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33"/>
      <c r="F494" s="10"/>
      <c r="G494" s="9"/>
      <c r="H494" s="9"/>
      <c r="I494" s="33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33"/>
      <c r="F495" s="10"/>
      <c r="G495" s="9"/>
      <c r="H495" s="9"/>
      <c r="I495" s="33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33"/>
      <c r="F496" s="10"/>
      <c r="G496" s="9"/>
      <c r="H496" s="9"/>
      <c r="I496" s="33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33"/>
      <c r="F497" s="10"/>
      <c r="G497" s="9"/>
      <c r="H497" s="9"/>
      <c r="I497" s="33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33"/>
      <c r="F498" s="10"/>
      <c r="G498" s="9"/>
      <c r="H498" s="9"/>
      <c r="I498" s="33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33"/>
      <c r="F499" s="10"/>
      <c r="G499" s="9"/>
      <c r="H499" s="9"/>
      <c r="I499" s="33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33"/>
      <c r="F500" s="10"/>
      <c r="G500" s="9"/>
      <c r="H500" s="9"/>
      <c r="I500" s="33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33"/>
      <c r="F501" s="10"/>
      <c r="G501" s="9"/>
      <c r="H501" s="9"/>
      <c r="I501" s="33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33"/>
      <c r="F502" s="10"/>
      <c r="G502" s="9"/>
      <c r="H502" s="9"/>
      <c r="I502" s="33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33"/>
      <c r="F503" s="10"/>
      <c r="G503" s="9"/>
      <c r="H503" s="9"/>
      <c r="I503" s="33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33"/>
      <c r="F504" s="10"/>
      <c r="G504" s="9"/>
      <c r="H504" s="9"/>
      <c r="I504" s="33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33"/>
      <c r="F505" s="10"/>
      <c r="G505" s="9"/>
      <c r="H505" s="9"/>
      <c r="I505" s="33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33"/>
      <c r="F506" s="10"/>
      <c r="G506" s="9"/>
      <c r="H506" s="9"/>
      <c r="I506" s="33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33"/>
      <c r="F507" s="10"/>
      <c r="G507" s="9"/>
      <c r="H507" s="9"/>
      <c r="I507" s="33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33"/>
      <c r="F508" s="10"/>
      <c r="G508" s="9"/>
      <c r="H508" s="9"/>
      <c r="I508" s="33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33"/>
      <c r="F509" s="10"/>
      <c r="G509" s="9"/>
      <c r="H509" s="9"/>
      <c r="I509" s="33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33"/>
      <c r="F510" s="10"/>
      <c r="G510" s="9"/>
      <c r="H510" s="9"/>
      <c r="I510" s="33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33"/>
      <c r="F511" s="10"/>
      <c r="G511" s="9"/>
      <c r="H511" s="9"/>
      <c r="I511" s="33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33"/>
      <c r="F512" s="10"/>
      <c r="G512" s="9"/>
      <c r="H512" s="9"/>
      <c r="I512" s="33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33"/>
      <c r="F513" s="10"/>
      <c r="G513" s="9"/>
      <c r="H513" s="9"/>
      <c r="I513" s="33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33"/>
      <c r="F514" s="10"/>
      <c r="G514" s="9"/>
      <c r="H514" s="9"/>
      <c r="I514" s="33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33"/>
      <c r="F515" s="10"/>
      <c r="G515" s="9"/>
      <c r="H515" s="9"/>
      <c r="I515" s="33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33"/>
      <c r="F516" s="10"/>
      <c r="G516" s="9"/>
      <c r="H516" s="9"/>
      <c r="I516" s="33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33"/>
      <c r="F517" s="10"/>
      <c r="G517" s="9"/>
      <c r="H517" s="9"/>
      <c r="I517" s="33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33"/>
      <c r="F518" s="10"/>
      <c r="G518" s="9"/>
      <c r="H518" s="9"/>
      <c r="I518" s="33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33"/>
      <c r="F519" s="10"/>
      <c r="G519" s="9"/>
      <c r="H519" s="9"/>
      <c r="I519" s="33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33"/>
      <c r="F520" s="10"/>
      <c r="G520" s="9"/>
      <c r="H520" s="9"/>
      <c r="I520" s="33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33"/>
      <c r="F521" s="10"/>
      <c r="G521" s="9"/>
      <c r="H521" s="9"/>
      <c r="I521" s="33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33"/>
      <c r="F522" s="10"/>
      <c r="G522" s="9"/>
      <c r="H522" s="9"/>
      <c r="I522" s="33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33"/>
      <c r="F523" s="10"/>
      <c r="G523" s="9"/>
      <c r="H523" s="9"/>
      <c r="I523" s="33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33"/>
      <c r="F524" s="10"/>
      <c r="G524" s="9"/>
      <c r="H524" s="9"/>
      <c r="I524" s="33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33"/>
      <c r="F525" s="10"/>
      <c r="G525" s="9"/>
      <c r="H525" s="9"/>
      <c r="I525" s="33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33"/>
      <c r="F526" s="10"/>
      <c r="G526" s="9"/>
      <c r="H526" s="9"/>
      <c r="I526" s="33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33"/>
      <c r="F527" s="10"/>
      <c r="G527" s="9"/>
      <c r="H527" s="9"/>
      <c r="I527" s="33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33"/>
      <c r="F528" s="10"/>
      <c r="G528" s="9"/>
      <c r="H528" s="9"/>
      <c r="I528" s="33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33"/>
      <c r="F529" s="10"/>
      <c r="G529" s="9"/>
      <c r="H529" s="9"/>
      <c r="I529" s="33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33"/>
      <c r="F530" s="10"/>
      <c r="G530" s="9"/>
      <c r="H530" s="9"/>
      <c r="I530" s="33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33"/>
      <c r="F531" s="10"/>
      <c r="G531" s="9"/>
      <c r="H531" s="9"/>
      <c r="I531" s="33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33"/>
      <c r="F532" s="10"/>
      <c r="G532" s="9"/>
      <c r="H532" s="9"/>
      <c r="I532" s="33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33"/>
      <c r="F533" s="10"/>
      <c r="G533" s="9"/>
      <c r="H533" s="9"/>
      <c r="I533" s="33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33"/>
      <c r="F534" s="10"/>
      <c r="G534" s="9"/>
      <c r="H534" s="9"/>
      <c r="I534" s="33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33"/>
      <c r="F535" s="10"/>
      <c r="G535" s="9"/>
      <c r="H535" s="9"/>
      <c r="I535" s="33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33"/>
      <c r="F536" s="10"/>
      <c r="G536" s="9"/>
      <c r="H536" s="9"/>
      <c r="I536" s="33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33"/>
      <c r="F537" s="10"/>
      <c r="G537" s="9"/>
      <c r="H537" s="9"/>
      <c r="I537" s="33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33"/>
      <c r="F538" s="10"/>
      <c r="G538" s="9"/>
      <c r="H538" s="9"/>
      <c r="I538" s="33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33"/>
      <c r="F539" s="10"/>
      <c r="G539" s="9"/>
      <c r="H539" s="9"/>
      <c r="I539" s="33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33"/>
      <c r="F540" s="10"/>
      <c r="G540" s="9"/>
      <c r="H540" s="9"/>
      <c r="I540" s="33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33"/>
      <c r="F541" s="10"/>
      <c r="G541" s="9"/>
      <c r="H541" s="9"/>
      <c r="I541" s="33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33"/>
      <c r="F542" s="10"/>
      <c r="G542" s="9"/>
      <c r="H542" s="9"/>
      <c r="I542" s="33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33"/>
      <c r="F543" s="10"/>
      <c r="G543" s="9"/>
      <c r="H543" s="9"/>
      <c r="I543" s="33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33"/>
      <c r="F544" s="10"/>
      <c r="G544" s="9"/>
      <c r="H544" s="9"/>
      <c r="I544" s="33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33"/>
      <c r="F545" s="10"/>
      <c r="G545" s="9"/>
      <c r="H545" s="9"/>
      <c r="I545" s="33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33"/>
      <c r="F546" s="10"/>
      <c r="G546" s="9"/>
      <c r="H546" s="9"/>
      <c r="I546" s="33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33"/>
      <c r="F547" s="10"/>
      <c r="G547" s="9"/>
      <c r="H547" s="9"/>
      <c r="I547" s="33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33"/>
      <c r="F548" s="10"/>
      <c r="G548" s="9"/>
      <c r="H548" s="9"/>
      <c r="I548" s="33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33"/>
      <c r="F549" s="10"/>
      <c r="G549" s="9"/>
      <c r="H549" s="9"/>
      <c r="I549" s="33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33"/>
      <c r="F550" s="10"/>
      <c r="G550" s="9"/>
      <c r="H550" s="9"/>
      <c r="I550" s="33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33"/>
      <c r="F551" s="10"/>
      <c r="G551" s="9"/>
      <c r="H551" s="9"/>
      <c r="I551" s="33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33"/>
      <c r="F552" s="10"/>
      <c r="G552" s="9"/>
      <c r="H552" s="9"/>
      <c r="I552" s="33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33"/>
      <c r="F553" s="10"/>
      <c r="G553" s="9"/>
      <c r="H553" s="9"/>
      <c r="I553" s="33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33"/>
      <c r="F554" s="10"/>
      <c r="G554" s="9"/>
      <c r="H554" s="9"/>
      <c r="I554" s="33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33"/>
      <c r="F555" s="10"/>
      <c r="G555" s="9"/>
      <c r="H555" s="9"/>
      <c r="I555" s="33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33"/>
      <c r="F556" s="10"/>
      <c r="G556" s="9"/>
      <c r="H556" s="9"/>
      <c r="I556" s="33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33"/>
      <c r="F557" s="10"/>
      <c r="G557" s="9"/>
      <c r="H557" s="9"/>
      <c r="I557" s="33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33"/>
      <c r="F558" s="10"/>
      <c r="G558" s="9"/>
      <c r="H558" s="9"/>
      <c r="I558" s="33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33"/>
      <c r="F559" s="10"/>
      <c r="G559" s="9"/>
      <c r="H559" s="9"/>
      <c r="I559" s="33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33"/>
      <c r="F560" s="10"/>
      <c r="G560" s="9"/>
      <c r="H560" s="9"/>
      <c r="I560" s="33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33"/>
      <c r="F561" s="10"/>
      <c r="G561" s="9"/>
      <c r="H561" s="9"/>
      <c r="I561" s="33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33"/>
      <c r="F562" s="10"/>
      <c r="G562" s="9"/>
      <c r="H562" s="9"/>
      <c r="I562" s="33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33"/>
      <c r="F563" s="10"/>
      <c r="G563" s="9"/>
      <c r="H563" s="9"/>
      <c r="I563" s="33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33"/>
      <c r="F564" s="10"/>
      <c r="G564" s="9"/>
      <c r="H564" s="9"/>
      <c r="I564" s="33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33"/>
      <c r="F565" s="10"/>
      <c r="G565" s="9"/>
      <c r="H565" s="9"/>
      <c r="I565" s="33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33"/>
      <c r="F566" s="10"/>
      <c r="G566" s="9"/>
      <c r="H566" s="9"/>
      <c r="I566" s="33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33"/>
      <c r="F567" s="10"/>
      <c r="G567" s="9"/>
      <c r="H567" s="9"/>
      <c r="I567" s="33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33"/>
      <c r="F568" s="10"/>
      <c r="G568" s="9"/>
      <c r="H568" s="9"/>
      <c r="I568" s="33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33"/>
      <c r="F569" s="10"/>
      <c r="G569" s="9"/>
      <c r="H569" s="9"/>
      <c r="I569" s="33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33"/>
      <c r="F570" s="10"/>
      <c r="G570" s="9"/>
      <c r="H570" s="9"/>
      <c r="I570" s="33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33"/>
      <c r="F571" s="10"/>
      <c r="G571" s="9"/>
      <c r="H571" s="9"/>
      <c r="I571" s="33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33"/>
      <c r="F572" s="10"/>
      <c r="G572" s="9"/>
      <c r="H572" s="9"/>
      <c r="I572" s="33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33"/>
      <c r="F573" s="10"/>
      <c r="G573" s="9"/>
      <c r="H573" s="9"/>
      <c r="I573" s="33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33"/>
      <c r="F574" s="10"/>
      <c r="G574" s="9"/>
      <c r="H574" s="9"/>
      <c r="I574" s="33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33"/>
      <c r="F575" s="10"/>
      <c r="G575" s="9"/>
      <c r="H575" s="9"/>
      <c r="I575" s="33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33"/>
      <c r="F576" s="10"/>
      <c r="G576" s="9"/>
      <c r="H576" s="9"/>
      <c r="I576" s="33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33"/>
      <c r="F577" s="10"/>
      <c r="G577" s="9"/>
      <c r="H577" s="9"/>
      <c r="I577" s="33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33"/>
      <c r="F578" s="10"/>
      <c r="G578" s="9"/>
      <c r="H578" s="9"/>
      <c r="I578" s="33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33"/>
      <c r="F579" s="10"/>
      <c r="G579" s="9"/>
      <c r="H579" s="9"/>
      <c r="I579" s="33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33"/>
      <c r="F580" s="10"/>
      <c r="G580" s="9"/>
      <c r="H580" s="9"/>
      <c r="I580" s="33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33"/>
      <c r="F581" s="10"/>
      <c r="G581" s="9"/>
      <c r="H581" s="9"/>
      <c r="I581" s="33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33"/>
      <c r="F582" s="10"/>
      <c r="G582" s="9"/>
      <c r="H582" s="9"/>
      <c r="I582" s="33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33"/>
      <c r="F583" s="10"/>
      <c r="G583" s="9"/>
      <c r="H583" s="9"/>
      <c r="I583" s="33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33"/>
      <c r="F584" s="10"/>
      <c r="G584" s="9"/>
      <c r="H584" s="9"/>
      <c r="I584" s="33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33"/>
      <c r="F585" s="10"/>
      <c r="G585" s="9"/>
      <c r="H585" s="9"/>
      <c r="I585" s="33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33"/>
      <c r="F586" s="10"/>
      <c r="G586" s="9"/>
      <c r="H586" s="9"/>
      <c r="I586" s="33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33"/>
      <c r="F587" s="10"/>
      <c r="G587" s="9"/>
      <c r="H587" s="9"/>
      <c r="I587" s="33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33"/>
      <c r="F588" s="10"/>
      <c r="G588" s="9"/>
      <c r="H588" s="9"/>
      <c r="I588" s="33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33"/>
      <c r="F589" s="10"/>
      <c r="G589" s="9"/>
      <c r="H589" s="9"/>
      <c r="I589" s="33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33"/>
      <c r="F590" s="10"/>
      <c r="G590" s="9"/>
      <c r="H590" s="9"/>
      <c r="I590" s="33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33"/>
      <c r="F591" s="10"/>
      <c r="G591" s="9"/>
      <c r="H591" s="9"/>
      <c r="I591" s="33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33"/>
      <c r="F592" s="10"/>
      <c r="G592" s="9"/>
      <c r="H592" s="9"/>
      <c r="I592" s="33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33"/>
      <c r="F593" s="10"/>
      <c r="G593" s="9"/>
      <c r="H593" s="9"/>
      <c r="I593" s="33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33"/>
      <c r="F594" s="10"/>
      <c r="G594" s="9"/>
      <c r="H594" s="9"/>
      <c r="I594" s="33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33"/>
      <c r="F595" s="10"/>
      <c r="G595" s="9"/>
      <c r="H595" s="9"/>
      <c r="I595" s="33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33"/>
      <c r="F596" s="10"/>
      <c r="G596" s="9"/>
      <c r="H596" s="9"/>
      <c r="I596" s="33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33"/>
      <c r="F597" s="10"/>
      <c r="G597" s="9"/>
      <c r="H597" s="9"/>
      <c r="I597" s="33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33"/>
      <c r="F598" s="10"/>
      <c r="G598" s="9"/>
      <c r="H598" s="9"/>
      <c r="I598" s="33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33"/>
      <c r="F599" s="10"/>
      <c r="G599" s="9"/>
      <c r="H599" s="9"/>
      <c r="I599" s="33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33"/>
      <c r="F600" s="10"/>
      <c r="G600" s="9"/>
      <c r="H600" s="9"/>
      <c r="I600" s="33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33"/>
      <c r="F601" s="10"/>
      <c r="G601" s="9"/>
      <c r="H601" s="9"/>
      <c r="I601" s="33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33"/>
      <c r="F602" s="10"/>
      <c r="G602" s="9"/>
      <c r="H602" s="9"/>
      <c r="I602" s="33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33"/>
      <c r="F603" s="10"/>
      <c r="G603" s="9"/>
      <c r="H603" s="9"/>
      <c r="I603" s="33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33"/>
      <c r="F604" s="10"/>
      <c r="G604" s="9"/>
      <c r="H604" s="9"/>
      <c r="I604" s="33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33"/>
      <c r="F605" s="10"/>
      <c r="G605" s="9"/>
      <c r="H605" s="9"/>
      <c r="I605" s="33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33"/>
      <c r="F606" s="10"/>
      <c r="G606" s="9"/>
      <c r="H606" s="9"/>
      <c r="I606" s="33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33"/>
      <c r="F607" s="10"/>
      <c r="G607" s="9"/>
      <c r="H607" s="9"/>
      <c r="I607" s="33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33"/>
      <c r="F608" s="10"/>
      <c r="G608" s="9"/>
      <c r="H608" s="9"/>
      <c r="I608" s="33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33"/>
      <c r="F609" s="10"/>
      <c r="G609" s="9"/>
      <c r="H609" s="9"/>
      <c r="I609" s="33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33"/>
      <c r="F610" s="10"/>
      <c r="G610" s="9"/>
      <c r="H610" s="9"/>
      <c r="I610" s="33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33"/>
      <c r="F611" s="10"/>
      <c r="G611" s="9"/>
      <c r="H611" s="9"/>
      <c r="I611" s="33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33"/>
      <c r="F612" s="10"/>
      <c r="G612" s="9"/>
      <c r="H612" s="9"/>
      <c r="I612" s="33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33"/>
      <c r="F613" s="10"/>
      <c r="G613" s="9"/>
      <c r="H613" s="9"/>
      <c r="I613" s="33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33"/>
      <c r="F614" s="10"/>
      <c r="G614" s="9"/>
      <c r="H614" s="9"/>
      <c r="I614" s="33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33"/>
      <c r="F615" s="10"/>
      <c r="G615" s="9"/>
      <c r="H615" s="9"/>
      <c r="I615" s="33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33"/>
      <c r="F616" s="10"/>
      <c r="G616" s="9"/>
      <c r="H616" s="9"/>
      <c r="I616" s="33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33"/>
      <c r="F617" s="10"/>
      <c r="G617" s="9"/>
      <c r="H617" s="9"/>
      <c r="I617" s="33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33"/>
      <c r="F618" s="10"/>
      <c r="G618" s="9"/>
      <c r="H618" s="9"/>
      <c r="I618" s="33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33"/>
      <c r="F619" s="10"/>
      <c r="G619" s="9"/>
      <c r="H619" s="9"/>
      <c r="I619" s="33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33"/>
      <c r="F620" s="10"/>
      <c r="G620" s="9"/>
      <c r="H620" s="9"/>
      <c r="I620" s="33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33"/>
      <c r="F621" s="10"/>
      <c r="G621" s="9"/>
      <c r="H621" s="9"/>
      <c r="I621" s="33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33"/>
      <c r="F622" s="10"/>
      <c r="G622" s="9"/>
      <c r="H622" s="9"/>
      <c r="I622" s="33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33"/>
      <c r="F623" s="10"/>
      <c r="G623" s="9"/>
      <c r="H623" s="9"/>
      <c r="I623" s="33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33"/>
      <c r="F624" s="10"/>
      <c r="G624" s="9"/>
      <c r="H624" s="9"/>
      <c r="I624" s="33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33"/>
      <c r="F625" s="10"/>
      <c r="G625" s="9"/>
      <c r="H625" s="9"/>
      <c r="I625" s="33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33"/>
      <c r="F626" s="10"/>
      <c r="G626" s="9"/>
      <c r="H626" s="9"/>
      <c r="I626" s="33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33"/>
      <c r="F627" s="10"/>
      <c r="G627" s="9"/>
      <c r="H627" s="9"/>
      <c r="I627" s="33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33"/>
      <c r="F628" s="10"/>
      <c r="G628" s="9"/>
      <c r="H628" s="9"/>
      <c r="I628" s="33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33"/>
      <c r="F629" s="10"/>
      <c r="G629" s="9"/>
      <c r="H629" s="9"/>
      <c r="I629" s="33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33"/>
      <c r="F630" s="10"/>
      <c r="G630" s="9"/>
      <c r="H630" s="9"/>
      <c r="I630" s="33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33"/>
      <c r="F631" s="10"/>
      <c r="G631" s="9"/>
      <c r="H631" s="9"/>
      <c r="I631" s="33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33"/>
      <c r="F632" s="10"/>
      <c r="G632" s="9"/>
      <c r="H632" s="9"/>
      <c r="I632" s="33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33"/>
      <c r="F633" s="10"/>
      <c r="G633" s="9"/>
      <c r="H633" s="9"/>
      <c r="I633" s="33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33"/>
      <c r="F634" s="10"/>
      <c r="G634" s="9"/>
      <c r="H634" s="9"/>
      <c r="I634" s="33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33"/>
      <c r="F635" s="10"/>
      <c r="G635" s="9"/>
      <c r="H635" s="9"/>
      <c r="I635" s="33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33"/>
      <c r="F636" s="10"/>
      <c r="G636" s="9"/>
      <c r="H636" s="9"/>
      <c r="I636" s="33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33"/>
      <c r="F637" s="10"/>
      <c r="G637" s="9"/>
      <c r="H637" s="9"/>
      <c r="I637" s="33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33"/>
      <c r="F638" s="10"/>
      <c r="G638" s="9"/>
      <c r="H638" s="9"/>
      <c r="I638" s="33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33"/>
      <c r="F639" s="10"/>
      <c r="G639" s="9"/>
      <c r="H639" s="9"/>
      <c r="I639" s="33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33"/>
      <c r="F640" s="10"/>
      <c r="G640" s="9"/>
      <c r="H640" s="9"/>
      <c r="I640" s="33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33"/>
      <c r="F641" s="10"/>
      <c r="G641" s="9"/>
      <c r="H641" s="9"/>
      <c r="I641" s="33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33"/>
      <c r="F642" s="10"/>
      <c r="G642" s="9"/>
      <c r="H642" s="9"/>
      <c r="I642" s="33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33"/>
      <c r="F643" s="10"/>
      <c r="G643" s="9"/>
      <c r="H643" s="9"/>
      <c r="I643" s="33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33"/>
      <c r="F644" s="10"/>
      <c r="G644" s="9"/>
      <c r="H644" s="9"/>
      <c r="I644" s="33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33"/>
      <c r="F645" s="10"/>
      <c r="G645" s="9"/>
      <c r="H645" s="9"/>
      <c r="I645" s="33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33"/>
      <c r="F646" s="10"/>
      <c r="G646" s="9"/>
      <c r="H646" s="9"/>
      <c r="I646" s="33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33"/>
      <c r="F647" s="10"/>
      <c r="G647" s="9"/>
      <c r="H647" s="9"/>
      <c r="I647" s="33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33"/>
      <c r="F648" s="10"/>
      <c r="G648" s="9"/>
      <c r="H648" s="9"/>
      <c r="I648" s="33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33"/>
      <c r="F649" s="10"/>
      <c r="G649" s="9"/>
      <c r="H649" s="9"/>
      <c r="I649" s="33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33"/>
      <c r="F650" s="10"/>
      <c r="G650" s="9"/>
      <c r="H650" s="9"/>
      <c r="I650" s="33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33"/>
      <c r="F651" s="10"/>
      <c r="G651" s="9"/>
      <c r="H651" s="9"/>
      <c r="I651" s="33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33"/>
      <c r="F652" s="10"/>
      <c r="G652" s="9"/>
      <c r="H652" s="9"/>
      <c r="I652" s="33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33"/>
      <c r="F653" s="10"/>
      <c r="G653" s="9"/>
      <c r="H653" s="9"/>
      <c r="I653" s="33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33"/>
      <c r="F654" s="10"/>
      <c r="G654" s="9"/>
      <c r="H654" s="9"/>
      <c r="I654" s="33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33"/>
      <c r="F655" s="10"/>
      <c r="G655" s="9"/>
      <c r="H655" s="9"/>
      <c r="I655" s="33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33"/>
      <c r="F656" s="10"/>
      <c r="G656" s="9"/>
      <c r="H656" s="9"/>
      <c r="I656" s="33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33"/>
      <c r="F657" s="10"/>
      <c r="G657" s="9"/>
      <c r="H657" s="9"/>
      <c r="I657" s="33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33"/>
      <c r="F658" s="10"/>
      <c r="G658" s="9"/>
      <c r="H658" s="9"/>
      <c r="I658" s="33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33"/>
      <c r="F659" s="10"/>
      <c r="G659" s="9"/>
      <c r="H659" s="9"/>
      <c r="I659" s="33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33"/>
      <c r="F660" s="10"/>
      <c r="G660" s="9"/>
      <c r="H660" s="9"/>
      <c r="I660" s="33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33"/>
      <c r="F661" s="10"/>
      <c r="G661" s="9"/>
      <c r="H661" s="9"/>
      <c r="I661" s="33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33"/>
      <c r="F662" s="10"/>
      <c r="G662" s="9"/>
      <c r="H662" s="9"/>
      <c r="I662" s="33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33"/>
      <c r="F663" s="10"/>
      <c r="G663" s="9"/>
      <c r="H663" s="9"/>
      <c r="I663" s="33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33"/>
      <c r="F664" s="10"/>
      <c r="G664" s="9"/>
      <c r="H664" s="9"/>
      <c r="I664" s="33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33"/>
      <c r="F665" s="10"/>
      <c r="G665" s="9"/>
      <c r="H665" s="9"/>
      <c r="I665" s="33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33"/>
      <c r="F666" s="10"/>
      <c r="G666" s="9"/>
      <c r="H666" s="9"/>
      <c r="I666" s="33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33"/>
      <c r="F667" s="10"/>
      <c r="G667" s="9"/>
      <c r="H667" s="9"/>
      <c r="I667" s="33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33"/>
      <c r="F668" s="10"/>
      <c r="G668" s="9"/>
      <c r="H668" s="9"/>
      <c r="I668" s="33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33"/>
      <c r="F669" s="10"/>
      <c r="G669" s="9"/>
      <c r="H669" s="9"/>
      <c r="I669" s="33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33"/>
      <c r="F670" s="10"/>
      <c r="G670" s="9"/>
      <c r="H670" s="9"/>
      <c r="I670" s="33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33"/>
      <c r="F671" s="10"/>
      <c r="G671" s="9"/>
      <c r="H671" s="9"/>
      <c r="I671" s="33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33"/>
      <c r="F672" s="10"/>
      <c r="G672" s="9"/>
      <c r="H672" s="9"/>
      <c r="I672" s="33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33"/>
      <c r="F673" s="10"/>
      <c r="G673" s="9"/>
      <c r="H673" s="9"/>
      <c r="I673" s="33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33"/>
      <c r="F674" s="10"/>
      <c r="G674" s="9"/>
      <c r="H674" s="9"/>
      <c r="I674" s="33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33"/>
      <c r="F675" s="10"/>
      <c r="G675" s="9"/>
      <c r="H675" s="9"/>
      <c r="I675" s="33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33"/>
      <c r="F676" s="10"/>
      <c r="G676" s="9"/>
      <c r="H676" s="9"/>
      <c r="I676" s="33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33"/>
      <c r="F677" s="10"/>
      <c r="G677" s="9"/>
      <c r="H677" s="9"/>
      <c r="I677" s="33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33"/>
      <c r="F678" s="10"/>
      <c r="G678" s="9"/>
      <c r="H678" s="9"/>
      <c r="I678" s="33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33"/>
      <c r="F679" s="10"/>
      <c r="G679" s="9"/>
      <c r="H679" s="9"/>
      <c r="I679" s="33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33"/>
      <c r="F680" s="10"/>
      <c r="G680" s="9"/>
      <c r="H680" s="9"/>
      <c r="I680" s="33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33"/>
      <c r="F681" s="10"/>
      <c r="G681" s="9"/>
      <c r="H681" s="9"/>
      <c r="I681" s="33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33"/>
      <c r="F682" s="10"/>
      <c r="G682" s="9"/>
      <c r="H682" s="9"/>
      <c r="I682" s="33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33"/>
      <c r="F683" s="10"/>
      <c r="G683" s="9"/>
      <c r="H683" s="9"/>
      <c r="I683" s="33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33"/>
      <c r="F684" s="10"/>
      <c r="G684" s="9"/>
      <c r="H684" s="9"/>
      <c r="I684" s="33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33"/>
      <c r="F685" s="10"/>
      <c r="G685" s="9"/>
      <c r="H685" s="9"/>
      <c r="I685" s="33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33"/>
      <c r="F686" s="10"/>
      <c r="G686" s="9"/>
      <c r="H686" s="9"/>
      <c r="I686" s="33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33"/>
      <c r="F687" s="10"/>
      <c r="G687" s="9"/>
      <c r="H687" s="9"/>
      <c r="I687" s="33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33"/>
      <c r="F688" s="10"/>
      <c r="G688" s="9"/>
      <c r="H688" s="9"/>
      <c r="I688" s="33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33"/>
      <c r="F689" s="10"/>
      <c r="G689" s="9"/>
      <c r="H689" s="9"/>
      <c r="I689" s="33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33"/>
      <c r="F690" s="10"/>
      <c r="G690" s="9"/>
      <c r="H690" s="9"/>
      <c r="I690" s="33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33"/>
      <c r="F691" s="10"/>
      <c r="G691" s="9"/>
      <c r="H691" s="9"/>
      <c r="I691" s="33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33"/>
      <c r="F692" s="10"/>
      <c r="G692" s="9"/>
      <c r="H692" s="9"/>
      <c r="I692" s="33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33"/>
      <c r="F693" s="10"/>
      <c r="G693" s="9"/>
      <c r="H693" s="9"/>
      <c r="I693" s="33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33"/>
      <c r="F694" s="10"/>
      <c r="G694" s="9"/>
      <c r="H694" s="9"/>
      <c r="I694" s="33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33"/>
      <c r="F695" s="10"/>
      <c r="G695" s="9"/>
      <c r="H695" s="9"/>
      <c r="I695" s="33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33"/>
      <c r="F696" s="10"/>
      <c r="G696" s="9"/>
      <c r="H696" s="9"/>
      <c r="I696" s="33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33"/>
      <c r="F697" s="10"/>
      <c r="G697" s="9"/>
      <c r="H697" s="9"/>
      <c r="I697" s="33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33"/>
      <c r="F698" s="10"/>
      <c r="G698" s="9"/>
      <c r="H698" s="9"/>
      <c r="I698" s="33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33"/>
      <c r="F699" s="10"/>
      <c r="G699" s="9"/>
      <c r="H699" s="9"/>
      <c r="I699" s="33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33"/>
      <c r="F700" s="10"/>
      <c r="G700" s="9"/>
      <c r="H700" s="9"/>
      <c r="I700" s="33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33"/>
      <c r="F701" s="10"/>
      <c r="G701" s="9"/>
      <c r="H701" s="9"/>
      <c r="I701" s="33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33"/>
      <c r="F702" s="10"/>
      <c r="G702" s="9"/>
      <c r="H702" s="9"/>
      <c r="I702" s="33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33"/>
      <c r="F703" s="10"/>
      <c r="G703" s="9"/>
      <c r="H703" s="9"/>
      <c r="I703" s="33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33"/>
      <c r="F704" s="10"/>
      <c r="G704" s="9"/>
      <c r="H704" s="9"/>
      <c r="I704" s="33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33"/>
      <c r="F705" s="10"/>
      <c r="G705" s="9"/>
      <c r="H705" s="9"/>
      <c r="I705" s="33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33"/>
      <c r="F706" s="10"/>
      <c r="G706" s="9"/>
      <c r="H706" s="9"/>
      <c r="I706" s="33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33"/>
      <c r="F707" s="10"/>
      <c r="G707" s="9"/>
      <c r="H707" s="9"/>
      <c r="I707" s="33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33"/>
      <c r="F708" s="10"/>
      <c r="G708" s="9"/>
      <c r="H708" s="9"/>
      <c r="I708" s="33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33"/>
      <c r="F709" s="10"/>
      <c r="G709" s="9"/>
      <c r="H709" s="9"/>
      <c r="I709" s="33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33"/>
      <c r="F710" s="10"/>
      <c r="G710" s="9"/>
      <c r="H710" s="9"/>
      <c r="I710" s="33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33"/>
      <c r="F711" s="10"/>
      <c r="G711" s="9"/>
      <c r="H711" s="9"/>
      <c r="I711" s="33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33"/>
      <c r="F712" s="10"/>
      <c r="G712" s="9"/>
      <c r="H712" s="9"/>
      <c r="I712" s="33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33"/>
      <c r="F713" s="10"/>
      <c r="G713" s="9"/>
      <c r="H713" s="9"/>
      <c r="I713" s="33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33"/>
      <c r="F714" s="10"/>
      <c r="G714" s="9"/>
      <c r="H714" s="9"/>
      <c r="I714" s="33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33"/>
      <c r="F715" s="10"/>
      <c r="G715" s="9"/>
      <c r="H715" s="9"/>
      <c r="I715" s="33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33"/>
      <c r="F716" s="10"/>
      <c r="G716" s="9"/>
      <c r="H716" s="9"/>
      <c r="I716" s="33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33"/>
      <c r="F717" s="10"/>
      <c r="G717" s="9"/>
      <c r="H717" s="9"/>
      <c r="I717" s="33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33"/>
      <c r="F718" s="10"/>
      <c r="G718" s="9"/>
      <c r="H718" s="9"/>
      <c r="I718" s="33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33"/>
      <c r="F719" s="10"/>
      <c r="G719" s="9"/>
      <c r="H719" s="9"/>
      <c r="I719" s="33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33"/>
      <c r="F720" s="10"/>
      <c r="G720" s="9"/>
      <c r="H720" s="9"/>
      <c r="I720" s="33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33"/>
      <c r="F721" s="10"/>
      <c r="G721" s="9"/>
      <c r="H721" s="9"/>
      <c r="I721" s="33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33"/>
      <c r="F722" s="10"/>
      <c r="G722" s="9"/>
      <c r="H722" s="9"/>
      <c r="I722" s="33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33"/>
      <c r="F723" s="10"/>
      <c r="G723" s="9"/>
      <c r="H723" s="9"/>
      <c r="I723" s="33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33"/>
      <c r="F724" s="10"/>
      <c r="G724" s="9"/>
      <c r="H724" s="9"/>
      <c r="I724" s="33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33"/>
      <c r="F725" s="10"/>
      <c r="G725" s="9"/>
      <c r="H725" s="9"/>
      <c r="I725" s="33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33"/>
      <c r="F726" s="10"/>
      <c r="G726" s="9"/>
      <c r="H726" s="9"/>
      <c r="I726" s="33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33"/>
      <c r="F727" s="10"/>
      <c r="G727" s="9"/>
      <c r="H727" s="9"/>
      <c r="I727" s="33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33"/>
      <c r="F728" s="10"/>
      <c r="G728" s="9"/>
      <c r="H728" s="9"/>
      <c r="I728" s="33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33"/>
      <c r="F729" s="10"/>
      <c r="G729" s="9"/>
      <c r="H729" s="9"/>
      <c r="I729" s="33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33"/>
      <c r="F730" s="10"/>
      <c r="G730" s="9"/>
      <c r="H730" s="9"/>
      <c r="I730" s="33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33"/>
      <c r="F731" s="10"/>
      <c r="G731" s="9"/>
      <c r="H731" s="9"/>
      <c r="I731" s="33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33"/>
      <c r="F732" s="10"/>
      <c r="G732" s="9"/>
      <c r="H732" s="9"/>
      <c r="I732" s="33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33"/>
      <c r="F733" s="10"/>
      <c r="G733" s="9"/>
      <c r="H733" s="9"/>
      <c r="I733" s="33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33"/>
      <c r="F734" s="10"/>
      <c r="G734" s="9"/>
      <c r="H734" s="9"/>
      <c r="I734" s="33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33"/>
      <c r="F735" s="10"/>
      <c r="G735" s="9"/>
      <c r="H735" s="9"/>
      <c r="I735" s="33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33"/>
      <c r="F736" s="10"/>
      <c r="G736" s="9"/>
      <c r="H736" s="9"/>
      <c r="I736" s="33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33"/>
      <c r="F737" s="10"/>
      <c r="G737" s="9"/>
      <c r="H737" s="9"/>
      <c r="I737" s="33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33"/>
      <c r="F738" s="10"/>
      <c r="G738" s="9"/>
      <c r="H738" s="9"/>
      <c r="I738" s="33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33"/>
      <c r="F739" s="10"/>
      <c r="G739" s="9"/>
      <c r="H739" s="9"/>
      <c r="I739" s="33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33"/>
      <c r="F740" s="10"/>
      <c r="G740" s="9"/>
      <c r="H740" s="9"/>
      <c r="I740" s="33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33"/>
      <c r="F741" s="10"/>
      <c r="G741" s="9"/>
      <c r="H741" s="9"/>
      <c r="I741" s="33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33"/>
      <c r="F742" s="10"/>
      <c r="G742" s="9"/>
      <c r="H742" s="9"/>
      <c r="I742" s="33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33"/>
      <c r="F743" s="10"/>
      <c r="G743" s="9"/>
      <c r="H743" s="9"/>
      <c r="I743" s="33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33"/>
      <c r="F744" s="10"/>
      <c r="G744" s="9"/>
      <c r="H744" s="9"/>
      <c r="I744" s="33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33"/>
      <c r="F745" s="10"/>
      <c r="G745" s="9"/>
      <c r="H745" s="9"/>
      <c r="I745" s="33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33"/>
      <c r="F746" s="10"/>
      <c r="G746" s="9"/>
      <c r="H746" s="9"/>
      <c r="I746" s="33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33"/>
      <c r="F747" s="10"/>
      <c r="G747" s="9"/>
      <c r="H747" s="9"/>
      <c r="I747" s="33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33"/>
      <c r="F748" s="10"/>
      <c r="G748" s="9"/>
      <c r="H748" s="9"/>
      <c r="I748" s="33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33"/>
      <c r="F749" s="10"/>
      <c r="G749" s="9"/>
      <c r="H749" s="9"/>
      <c r="I749" s="33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33"/>
      <c r="F750" s="10"/>
      <c r="G750" s="9"/>
      <c r="H750" s="9"/>
      <c r="I750" s="33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33"/>
      <c r="F751" s="10"/>
      <c r="G751" s="9"/>
      <c r="H751" s="9"/>
      <c r="I751" s="33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33"/>
      <c r="F752" s="10"/>
      <c r="G752" s="9"/>
      <c r="H752" s="9"/>
      <c r="I752" s="33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33"/>
      <c r="F753" s="10"/>
      <c r="G753" s="9"/>
      <c r="H753" s="9"/>
      <c r="I753" s="33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33"/>
      <c r="F754" s="10"/>
      <c r="G754" s="9"/>
      <c r="H754" s="9"/>
      <c r="I754" s="33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33"/>
      <c r="F755" s="10"/>
      <c r="G755" s="9"/>
      <c r="H755" s="9"/>
      <c r="I755" s="33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33"/>
      <c r="F756" s="10"/>
      <c r="G756" s="9"/>
      <c r="H756" s="9"/>
      <c r="I756" s="33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33"/>
      <c r="F757" s="10"/>
      <c r="G757" s="9"/>
      <c r="H757" s="9"/>
      <c r="I757" s="33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33"/>
      <c r="F758" s="10"/>
      <c r="G758" s="9"/>
      <c r="H758" s="9"/>
      <c r="I758" s="33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33"/>
      <c r="F759" s="10"/>
      <c r="G759" s="9"/>
      <c r="H759" s="9"/>
      <c r="I759" s="33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33"/>
      <c r="F760" s="10"/>
      <c r="G760" s="9"/>
      <c r="H760" s="9"/>
      <c r="I760" s="33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33"/>
      <c r="F761" s="10"/>
      <c r="G761" s="9"/>
      <c r="H761" s="9"/>
      <c r="I761" s="33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33"/>
      <c r="F762" s="10"/>
      <c r="G762" s="9"/>
      <c r="H762" s="9"/>
      <c r="I762" s="33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33"/>
      <c r="F763" s="10"/>
      <c r="G763" s="9"/>
      <c r="H763" s="9"/>
      <c r="I763" s="33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33"/>
      <c r="F764" s="10"/>
      <c r="G764" s="9"/>
      <c r="H764" s="9"/>
      <c r="I764" s="33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33"/>
      <c r="F765" s="10"/>
      <c r="G765" s="9"/>
      <c r="H765" s="9"/>
      <c r="I765" s="33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33"/>
      <c r="F766" s="10"/>
      <c r="G766" s="9"/>
      <c r="H766" s="9"/>
      <c r="I766" s="33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33"/>
      <c r="F767" s="10"/>
      <c r="G767" s="9"/>
      <c r="H767" s="9"/>
      <c r="I767" s="33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33"/>
      <c r="F768" s="10"/>
      <c r="G768" s="9"/>
      <c r="H768" s="9"/>
      <c r="I768" s="33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33"/>
      <c r="F769" s="10"/>
      <c r="G769" s="9"/>
      <c r="H769" s="9"/>
      <c r="I769" s="33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33"/>
      <c r="F770" s="10"/>
      <c r="G770" s="9"/>
      <c r="H770" s="9"/>
      <c r="I770" s="33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33"/>
      <c r="F771" s="10"/>
      <c r="G771" s="9"/>
      <c r="H771" s="9"/>
      <c r="I771" s="33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33"/>
      <c r="F772" s="10"/>
      <c r="G772" s="9"/>
      <c r="H772" s="9"/>
      <c r="I772" s="33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33"/>
      <c r="F773" s="10"/>
      <c r="G773" s="9"/>
      <c r="H773" s="9"/>
      <c r="I773" s="33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33"/>
      <c r="F774" s="10"/>
      <c r="G774" s="9"/>
      <c r="H774" s="9"/>
      <c r="I774" s="33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33"/>
      <c r="F775" s="10"/>
      <c r="G775" s="9"/>
      <c r="H775" s="9"/>
      <c r="I775" s="33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33"/>
      <c r="F776" s="10"/>
      <c r="G776" s="9"/>
      <c r="H776" s="9"/>
      <c r="I776" s="33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33"/>
      <c r="F777" s="10"/>
      <c r="G777" s="9"/>
      <c r="H777" s="9"/>
      <c r="I777" s="33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33"/>
      <c r="F778" s="10"/>
      <c r="G778" s="9"/>
      <c r="H778" s="9"/>
      <c r="I778" s="33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33"/>
      <c r="F779" s="10"/>
      <c r="G779" s="9"/>
      <c r="H779" s="9"/>
      <c r="I779" s="33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33"/>
      <c r="F780" s="10"/>
      <c r="G780" s="9"/>
      <c r="H780" s="9"/>
      <c r="I780" s="33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33"/>
      <c r="F781" s="10"/>
      <c r="G781" s="9"/>
      <c r="H781" s="9"/>
      <c r="I781" s="33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33"/>
      <c r="F782" s="10"/>
      <c r="G782" s="9"/>
      <c r="H782" s="9"/>
      <c r="I782" s="33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33"/>
      <c r="F783" s="10"/>
      <c r="G783" s="9"/>
      <c r="H783" s="9"/>
      <c r="I783" s="33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33"/>
      <c r="F784" s="10"/>
      <c r="G784" s="9"/>
      <c r="H784" s="9"/>
      <c r="I784" s="33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33"/>
      <c r="F785" s="10"/>
      <c r="G785" s="9"/>
      <c r="H785" s="9"/>
      <c r="I785" s="33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33"/>
      <c r="F786" s="10"/>
      <c r="G786" s="9"/>
      <c r="H786" s="9"/>
      <c r="I786" s="33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33"/>
      <c r="F787" s="10"/>
      <c r="G787" s="9"/>
      <c r="H787" s="9"/>
      <c r="I787" s="33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33"/>
      <c r="F788" s="10"/>
      <c r="G788" s="9"/>
      <c r="H788" s="9"/>
      <c r="I788" s="33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33"/>
      <c r="F789" s="10"/>
      <c r="G789" s="9"/>
      <c r="H789" s="9"/>
      <c r="I789" s="33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33"/>
      <c r="F790" s="10"/>
      <c r="G790" s="9"/>
      <c r="H790" s="9"/>
      <c r="I790" s="33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33"/>
      <c r="F791" s="10"/>
      <c r="G791" s="9"/>
      <c r="H791" s="9"/>
      <c r="I791" s="33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33"/>
      <c r="F792" s="10"/>
      <c r="G792" s="9"/>
      <c r="H792" s="9"/>
      <c r="I792" s="33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33"/>
      <c r="F793" s="10"/>
      <c r="G793" s="9"/>
      <c r="H793" s="9"/>
      <c r="I793" s="33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33"/>
      <c r="F794" s="10"/>
      <c r="G794" s="9"/>
      <c r="H794" s="9"/>
      <c r="I794" s="33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33"/>
      <c r="F795" s="10"/>
      <c r="G795" s="9"/>
      <c r="H795" s="9"/>
      <c r="I795" s="33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33"/>
      <c r="F796" s="10"/>
      <c r="G796" s="9"/>
      <c r="H796" s="9"/>
      <c r="I796" s="33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33"/>
      <c r="F797" s="10"/>
      <c r="G797" s="9"/>
      <c r="H797" s="9"/>
      <c r="I797" s="33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33"/>
      <c r="F798" s="10"/>
      <c r="G798" s="9"/>
      <c r="H798" s="9"/>
      <c r="I798" s="33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33"/>
      <c r="F799" s="10"/>
      <c r="G799" s="9"/>
      <c r="H799" s="9"/>
      <c r="I799" s="33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33"/>
      <c r="F800" s="10"/>
      <c r="G800" s="9"/>
      <c r="H800" s="9"/>
      <c r="I800" s="33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33"/>
      <c r="F801" s="10"/>
      <c r="G801" s="9"/>
      <c r="H801" s="9"/>
      <c r="I801" s="33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33"/>
      <c r="F802" s="10"/>
      <c r="G802" s="9"/>
      <c r="H802" s="9"/>
      <c r="I802" s="33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33"/>
      <c r="F803" s="10"/>
      <c r="G803" s="9"/>
      <c r="H803" s="9"/>
      <c r="I803" s="33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33"/>
      <c r="F804" s="10"/>
      <c r="G804" s="9"/>
      <c r="H804" s="9"/>
      <c r="I804" s="33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33"/>
      <c r="F805" s="10"/>
      <c r="G805" s="9"/>
      <c r="H805" s="9"/>
      <c r="I805" s="33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33"/>
      <c r="F806" s="10"/>
      <c r="G806" s="9"/>
      <c r="H806" s="9"/>
      <c r="I806" s="33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33"/>
      <c r="F807" s="10"/>
      <c r="G807" s="9"/>
      <c r="H807" s="9"/>
      <c r="I807" s="33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33"/>
      <c r="F808" s="10"/>
      <c r="G808" s="9"/>
      <c r="H808" s="9"/>
      <c r="I808" s="33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33"/>
      <c r="F809" s="10"/>
      <c r="G809" s="9"/>
      <c r="H809" s="9"/>
      <c r="I809" s="33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33"/>
      <c r="F810" s="10"/>
      <c r="G810" s="9"/>
      <c r="H810" s="9"/>
      <c r="I810" s="33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33"/>
      <c r="F811" s="10"/>
      <c r="G811" s="9"/>
      <c r="H811" s="9"/>
      <c r="I811" s="33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33"/>
      <c r="F812" s="10"/>
      <c r="G812" s="9"/>
      <c r="H812" s="9"/>
      <c r="I812" s="33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33"/>
      <c r="F813" s="10"/>
      <c r="G813" s="9"/>
      <c r="H813" s="9"/>
      <c r="I813" s="33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33"/>
      <c r="F814" s="10"/>
      <c r="G814" s="9"/>
      <c r="H814" s="9"/>
      <c r="I814" s="33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33"/>
      <c r="F815" s="10"/>
      <c r="G815" s="9"/>
      <c r="H815" s="9"/>
      <c r="I815" s="33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33"/>
      <c r="F816" s="10"/>
      <c r="G816" s="9"/>
      <c r="H816" s="9"/>
      <c r="I816" s="33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33"/>
      <c r="F817" s="10"/>
      <c r="G817" s="9"/>
      <c r="H817" s="9"/>
      <c r="I817" s="33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33"/>
      <c r="F818" s="10"/>
      <c r="G818" s="9"/>
      <c r="H818" s="9"/>
      <c r="I818" s="33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33"/>
      <c r="F819" s="10"/>
      <c r="G819" s="9"/>
      <c r="H819" s="9"/>
      <c r="I819" s="33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33"/>
      <c r="F820" s="10"/>
      <c r="G820" s="9"/>
      <c r="H820" s="9"/>
      <c r="I820" s="33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33"/>
      <c r="F821" s="10"/>
      <c r="G821" s="9"/>
      <c r="H821" s="9"/>
      <c r="I821" s="33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33"/>
      <c r="F822" s="10"/>
      <c r="G822" s="9"/>
      <c r="H822" s="9"/>
      <c r="I822" s="33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33"/>
      <c r="F823" s="10"/>
      <c r="G823" s="9"/>
      <c r="H823" s="9"/>
      <c r="I823" s="33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33"/>
      <c r="F824" s="10"/>
      <c r="G824" s="9"/>
      <c r="H824" s="9"/>
      <c r="I824" s="33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33"/>
      <c r="F825" s="10"/>
      <c r="G825" s="9"/>
      <c r="H825" s="9"/>
      <c r="I825" s="33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33"/>
      <c r="F826" s="10"/>
      <c r="G826" s="9"/>
      <c r="H826" s="9"/>
      <c r="I826" s="33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33"/>
      <c r="F827" s="10"/>
      <c r="G827" s="9"/>
      <c r="H827" s="9"/>
      <c r="I827" s="33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33"/>
      <c r="F828" s="10"/>
      <c r="G828" s="9"/>
      <c r="H828" s="9"/>
      <c r="I828" s="33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33"/>
      <c r="F829" s="10"/>
      <c r="G829" s="9"/>
      <c r="H829" s="9"/>
      <c r="I829" s="33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33"/>
      <c r="F830" s="10"/>
      <c r="G830" s="9"/>
      <c r="H830" s="9"/>
      <c r="I830" s="33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33"/>
      <c r="F831" s="10"/>
      <c r="G831" s="9"/>
      <c r="H831" s="9"/>
      <c r="I831" s="33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33"/>
      <c r="F832" s="10"/>
      <c r="G832" s="9"/>
      <c r="H832" s="9"/>
      <c r="I832" s="33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33"/>
      <c r="F833" s="10"/>
      <c r="G833" s="9"/>
      <c r="H833" s="9"/>
      <c r="I833" s="33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33"/>
      <c r="F834" s="10"/>
      <c r="G834" s="9"/>
      <c r="H834" s="9"/>
      <c r="I834" s="33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33"/>
      <c r="F835" s="10"/>
      <c r="G835" s="9"/>
      <c r="H835" s="9"/>
      <c r="I835" s="33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33"/>
      <c r="F836" s="10"/>
      <c r="G836" s="9"/>
      <c r="H836" s="9"/>
      <c r="I836" s="33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33"/>
      <c r="F837" s="10"/>
      <c r="G837" s="9"/>
      <c r="H837" s="9"/>
      <c r="I837" s="33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33"/>
      <c r="F838" s="10"/>
      <c r="G838" s="9"/>
      <c r="H838" s="9"/>
      <c r="I838" s="33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33"/>
      <c r="F839" s="10"/>
      <c r="G839" s="9"/>
      <c r="H839" s="9"/>
      <c r="I839" s="33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33"/>
      <c r="F840" s="10"/>
      <c r="G840" s="9"/>
      <c r="H840" s="9"/>
      <c r="I840" s="33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33"/>
      <c r="F841" s="10"/>
      <c r="G841" s="9"/>
      <c r="H841" s="9"/>
      <c r="I841" s="33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33"/>
      <c r="F842" s="10"/>
      <c r="G842" s="9"/>
      <c r="H842" s="9"/>
      <c r="I842" s="33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33"/>
      <c r="F843" s="10"/>
      <c r="G843" s="9"/>
      <c r="H843" s="9"/>
      <c r="I843" s="33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33"/>
      <c r="F844" s="10"/>
      <c r="G844" s="9"/>
      <c r="H844" s="9"/>
      <c r="I844" s="33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33"/>
      <c r="F845" s="10"/>
      <c r="G845" s="9"/>
      <c r="H845" s="9"/>
      <c r="I845" s="33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33"/>
      <c r="F846" s="10"/>
      <c r="G846" s="9"/>
      <c r="H846" s="9"/>
      <c r="I846" s="33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33"/>
      <c r="F847" s="10"/>
      <c r="G847" s="9"/>
      <c r="H847" s="9"/>
      <c r="I847" s="33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33"/>
      <c r="F848" s="10"/>
      <c r="G848" s="9"/>
      <c r="H848" s="9"/>
      <c r="I848" s="33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33"/>
      <c r="F849" s="10"/>
      <c r="G849" s="9"/>
      <c r="H849" s="9"/>
      <c r="I849" s="33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33"/>
      <c r="F850" s="10"/>
      <c r="G850" s="9"/>
      <c r="H850" s="9"/>
      <c r="I850" s="33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33"/>
      <c r="F851" s="10"/>
      <c r="G851" s="9"/>
      <c r="H851" s="9"/>
      <c r="I851" s="33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33"/>
      <c r="F852" s="10"/>
      <c r="G852" s="9"/>
      <c r="H852" s="9"/>
      <c r="I852" s="33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33"/>
      <c r="F853" s="10"/>
      <c r="G853" s="9"/>
      <c r="H853" s="9"/>
      <c r="I853" s="33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33"/>
      <c r="F854" s="10"/>
      <c r="G854" s="9"/>
      <c r="H854" s="9"/>
      <c r="I854" s="33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33"/>
      <c r="F855" s="10"/>
      <c r="G855" s="9"/>
      <c r="H855" s="9"/>
      <c r="I855" s="33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33"/>
      <c r="F856" s="10"/>
      <c r="G856" s="9"/>
      <c r="H856" s="9"/>
      <c r="I856" s="33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33"/>
      <c r="F857" s="10"/>
      <c r="G857" s="9"/>
      <c r="H857" s="9"/>
      <c r="I857" s="33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33"/>
      <c r="F858" s="10"/>
      <c r="G858" s="9"/>
      <c r="H858" s="9"/>
      <c r="I858" s="33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33"/>
      <c r="F859" s="10"/>
      <c r="G859" s="9"/>
      <c r="H859" s="9"/>
      <c r="I859" s="33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33"/>
      <c r="F860" s="10"/>
      <c r="G860" s="9"/>
      <c r="H860" s="9"/>
      <c r="I860" s="33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33"/>
      <c r="F861" s="10"/>
      <c r="G861" s="9"/>
      <c r="H861" s="9"/>
      <c r="I861" s="33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33"/>
      <c r="F862" s="10"/>
      <c r="G862" s="9"/>
      <c r="H862" s="9"/>
      <c r="I862" s="33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33"/>
      <c r="F863" s="10"/>
      <c r="G863" s="9"/>
      <c r="H863" s="9"/>
      <c r="I863" s="33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33"/>
      <c r="F864" s="10"/>
      <c r="G864" s="9"/>
      <c r="H864" s="9"/>
      <c r="I864" s="33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33"/>
      <c r="F865" s="10"/>
      <c r="G865" s="9"/>
      <c r="H865" s="9"/>
      <c r="I865" s="33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33"/>
      <c r="F866" s="10"/>
      <c r="G866" s="9"/>
      <c r="H866" s="9"/>
      <c r="I866" s="33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33"/>
      <c r="F867" s="10"/>
      <c r="G867" s="9"/>
      <c r="H867" s="9"/>
      <c r="I867" s="33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33"/>
      <c r="F868" s="10"/>
      <c r="G868" s="9"/>
      <c r="H868" s="9"/>
      <c r="I868" s="33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33"/>
      <c r="F869" s="10"/>
      <c r="G869" s="9"/>
      <c r="H869" s="9"/>
      <c r="I869" s="33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33"/>
      <c r="F870" s="10"/>
      <c r="G870" s="9"/>
      <c r="H870" s="9"/>
      <c r="I870" s="33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33"/>
      <c r="F871" s="10"/>
      <c r="G871" s="9"/>
      <c r="H871" s="9"/>
      <c r="I871" s="33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33"/>
      <c r="F872" s="10"/>
      <c r="G872" s="9"/>
      <c r="H872" s="9"/>
      <c r="I872" s="33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33"/>
      <c r="F873" s="10"/>
      <c r="G873" s="9"/>
      <c r="H873" s="9"/>
      <c r="I873" s="33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33"/>
      <c r="F874" s="10"/>
      <c r="G874" s="9"/>
      <c r="H874" s="9"/>
      <c r="I874" s="33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33"/>
      <c r="F875" s="10"/>
      <c r="G875" s="9"/>
      <c r="H875" s="9"/>
      <c r="I875" s="33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33"/>
      <c r="F876" s="10"/>
      <c r="G876" s="9"/>
      <c r="H876" s="9"/>
      <c r="I876" s="33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33"/>
      <c r="F877" s="10"/>
      <c r="G877" s="9"/>
      <c r="H877" s="9"/>
      <c r="I877" s="33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33"/>
      <c r="F878" s="10"/>
      <c r="G878" s="9"/>
      <c r="H878" s="9"/>
      <c r="I878" s="33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33"/>
      <c r="F879" s="10"/>
      <c r="G879" s="9"/>
      <c r="H879" s="9"/>
      <c r="I879" s="33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33"/>
      <c r="F880" s="10"/>
      <c r="G880" s="9"/>
      <c r="H880" s="9"/>
      <c r="I880" s="33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33"/>
      <c r="F881" s="10"/>
      <c r="G881" s="9"/>
      <c r="H881" s="9"/>
      <c r="I881" s="33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33"/>
      <c r="F882" s="10"/>
      <c r="G882" s="9"/>
      <c r="H882" s="9"/>
      <c r="I882" s="33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33"/>
      <c r="F883" s="10"/>
      <c r="G883" s="9"/>
      <c r="H883" s="9"/>
      <c r="I883" s="33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33"/>
      <c r="F884" s="10"/>
      <c r="G884" s="9"/>
      <c r="H884" s="9"/>
      <c r="I884" s="33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33"/>
      <c r="F885" s="10"/>
      <c r="G885" s="9"/>
      <c r="H885" s="9"/>
      <c r="I885" s="33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33"/>
      <c r="F886" s="10"/>
      <c r="G886" s="9"/>
      <c r="H886" s="9"/>
      <c r="I886" s="33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33"/>
      <c r="F887" s="10"/>
      <c r="G887" s="9"/>
      <c r="H887" s="9"/>
      <c r="I887" s="33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33"/>
      <c r="F888" s="10"/>
      <c r="G888" s="9"/>
      <c r="H888" s="9"/>
      <c r="I888" s="33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33"/>
      <c r="F889" s="10"/>
      <c r="G889" s="9"/>
      <c r="H889" s="9"/>
      <c r="I889" s="33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33"/>
      <c r="F890" s="10"/>
      <c r="G890" s="9"/>
      <c r="H890" s="9"/>
      <c r="I890" s="33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33"/>
      <c r="F891" s="10"/>
      <c r="G891" s="9"/>
      <c r="H891" s="9"/>
      <c r="I891" s="33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33"/>
      <c r="F892" s="10"/>
      <c r="G892" s="9"/>
      <c r="H892" s="9"/>
      <c r="I892" s="33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33"/>
      <c r="F893" s="10"/>
      <c r="G893" s="9"/>
      <c r="H893" s="9"/>
      <c r="I893" s="33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33"/>
      <c r="F894" s="10"/>
      <c r="G894" s="9"/>
      <c r="H894" s="9"/>
      <c r="I894" s="33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33"/>
      <c r="F895" s="10"/>
      <c r="G895" s="9"/>
      <c r="H895" s="9"/>
      <c r="I895" s="33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33"/>
      <c r="F896" s="10"/>
      <c r="G896" s="9"/>
      <c r="H896" s="9"/>
      <c r="I896" s="33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33"/>
      <c r="F897" s="10"/>
      <c r="G897" s="9"/>
      <c r="H897" s="9"/>
      <c r="I897" s="33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33"/>
      <c r="F898" s="10"/>
      <c r="G898" s="9"/>
      <c r="H898" s="9"/>
      <c r="I898" s="33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33"/>
      <c r="F899" s="10"/>
      <c r="G899" s="9"/>
      <c r="H899" s="9"/>
      <c r="I899" s="33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33"/>
      <c r="F900" s="10"/>
      <c r="G900" s="9"/>
      <c r="H900" s="9"/>
      <c r="I900" s="33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33"/>
      <c r="F901" s="10"/>
      <c r="G901" s="9"/>
      <c r="H901" s="9"/>
      <c r="I901" s="33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33"/>
      <c r="F902" s="10"/>
      <c r="G902" s="9"/>
      <c r="H902" s="9"/>
      <c r="I902" s="33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33"/>
      <c r="F903" s="10"/>
      <c r="G903" s="9"/>
      <c r="H903" s="9"/>
      <c r="I903" s="33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33"/>
      <c r="F904" s="10"/>
      <c r="G904" s="9"/>
      <c r="H904" s="9"/>
      <c r="I904" s="33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33"/>
      <c r="F905" s="10"/>
      <c r="G905" s="9"/>
      <c r="H905" s="9"/>
      <c r="I905" s="33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33"/>
      <c r="F906" s="10"/>
      <c r="G906" s="9"/>
      <c r="H906" s="9"/>
      <c r="I906" s="33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33"/>
      <c r="F907" s="10"/>
      <c r="G907" s="9"/>
      <c r="H907" s="9"/>
      <c r="I907" s="33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33"/>
      <c r="F908" s="10"/>
      <c r="G908" s="9"/>
      <c r="H908" s="9"/>
      <c r="I908" s="33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33"/>
      <c r="F909" s="10"/>
      <c r="G909" s="9"/>
      <c r="H909" s="9"/>
      <c r="I909" s="33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33"/>
      <c r="F910" s="10"/>
      <c r="G910" s="9"/>
      <c r="H910" s="9"/>
      <c r="I910" s="33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33"/>
      <c r="F911" s="10"/>
      <c r="G911" s="9"/>
      <c r="H911" s="9"/>
      <c r="I911" s="33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33"/>
      <c r="F912" s="10"/>
      <c r="G912" s="9"/>
      <c r="H912" s="9"/>
      <c r="I912" s="33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33"/>
      <c r="F913" s="10"/>
      <c r="G913" s="9"/>
      <c r="H913" s="9"/>
      <c r="I913" s="33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33"/>
      <c r="F914" s="10"/>
      <c r="G914" s="9"/>
      <c r="H914" s="9"/>
      <c r="I914" s="33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33"/>
      <c r="F915" s="10"/>
      <c r="G915" s="9"/>
      <c r="H915" s="9"/>
      <c r="I915" s="33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33"/>
      <c r="F916" s="10"/>
      <c r="G916" s="9"/>
      <c r="H916" s="9"/>
      <c r="I916" s="33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33"/>
      <c r="F917" s="10"/>
      <c r="G917" s="9"/>
      <c r="H917" s="9"/>
      <c r="I917" s="33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33"/>
      <c r="F918" s="10"/>
      <c r="G918" s="9"/>
      <c r="H918" s="9"/>
      <c r="I918" s="33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33"/>
      <c r="F919" s="10"/>
      <c r="G919" s="9"/>
      <c r="H919" s="9"/>
      <c r="I919" s="33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33"/>
      <c r="F920" s="10"/>
      <c r="G920" s="9"/>
      <c r="H920" s="9"/>
      <c r="I920" s="33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33"/>
      <c r="F921" s="10"/>
      <c r="G921" s="9"/>
      <c r="H921" s="9"/>
      <c r="I921" s="33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33"/>
      <c r="F922" s="10"/>
      <c r="G922" s="9"/>
      <c r="H922" s="9"/>
      <c r="I922" s="33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33"/>
      <c r="F923" s="10"/>
      <c r="G923" s="9"/>
      <c r="H923" s="9"/>
      <c r="I923" s="33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33"/>
      <c r="F924" s="10"/>
      <c r="G924" s="9"/>
      <c r="H924" s="9"/>
      <c r="I924" s="33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33"/>
      <c r="F925" s="10"/>
      <c r="G925" s="9"/>
      <c r="H925" s="9"/>
      <c r="I925" s="33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33"/>
      <c r="F926" s="10"/>
      <c r="G926" s="9"/>
      <c r="H926" s="9"/>
      <c r="I926" s="33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33"/>
      <c r="F927" s="10"/>
      <c r="G927" s="9"/>
      <c r="H927" s="9"/>
      <c r="I927" s="33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33"/>
      <c r="F928" s="10"/>
      <c r="G928" s="9"/>
      <c r="H928" s="9"/>
      <c r="I928" s="33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33"/>
      <c r="F929" s="10"/>
      <c r="G929" s="9"/>
      <c r="H929" s="9"/>
      <c r="I929" s="33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33"/>
      <c r="F930" s="10"/>
      <c r="G930" s="9"/>
      <c r="H930" s="9"/>
      <c r="I930" s="33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33"/>
      <c r="F931" s="10"/>
      <c r="G931" s="9"/>
      <c r="H931" s="9"/>
      <c r="I931" s="33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33"/>
      <c r="F932" s="10"/>
      <c r="G932" s="9"/>
      <c r="H932" s="9"/>
      <c r="I932" s="33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33"/>
      <c r="F933" s="10"/>
      <c r="G933" s="9"/>
      <c r="H933" s="9"/>
      <c r="I933" s="33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33"/>
      <c r="F934" s="10"/>
      <c r="G934" s="9"/>
      <c r="H934" s="9"/>
      <c r="I934" s="33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33"/>
      <c r="F935" s="10"/>
      <c r="G935" s="9"/>
      <c r="H935" s="9"/>
      <c r="I935" s="33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33"/>
      <c r="F936" s="10"/>
      <c r="G936" s="9"/>
      <c r="H936" s="9"/>
      <c r="I936" s="33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33"/>
      <c r="F937" s="10"/>
      <c r="G937" s="9"/>
      <c r="H937" s="9"/>
      <c r="I937" s="33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33"/>
      <c r="F938" s="10"/>
      <c r="G938" s="9"/>
      <c r="H938" s="9"/>
      <c r="I938" s="33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33"/>
      <c r="F939" s="10"/>
      <c r="G939" s="9"/>
      <c r="H939" s="9"/>
      <c r="I939" s="33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33"/>
      <c r="F940" s="10"/>
      <c r="G940" s="9"/>
      <c r="H940" s="9"/>
      <c r="I940" s="33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33"/>
      <c r="F941" s="10"/>
      <c r="G941" s="9"/>
      <c r="H941" s="9"/>
      <c r="I941" s="33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33"/>
      <c r="F942" s="10"/>
      <c r="G942" s="9"/>
      <c r="H942" s="9"/>
      <c r="I942" s="33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33"/>
      <c r="F943" s="10"/>
      <c r="G943" s="9"/>
      <c r="H943" s="9"/>
      <c r="I943" s="33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33"/>
      <c r="F944" s="10"/>
      <c r="G944" s="9"/>
      <c r="H944" s="9"/>
      <c r="I944" s="33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33"/>
      <c r="F945" s="10"/>
      <c r="G945" s="9"/>
      <c r="H945" s="9"/>
      <c r="I945" s="33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33"/>
      <c r="F946" s="10"/>
      <c r="G946" s="9"/>
      <c r="H946" s="9"/>
      <c r="I946" s="33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33"/>
      <c r="F947" s="10"/>
      <c r="G947" s="9"/>
      <c r="H947" s="9"/>
      <c r="I947" s="33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33"/>
      <c r="F948" s="10"/>
      <c r="G948" s="9"/>
      <c r="H948" s="9"/>
      <c r="I948" s="33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33"/>
      <c r="F949" s="10"/>
      <c r="G949" s="9"/>
      <c r="H949" s="9"/>
      <c r="I949" s="33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33"/>
      <c r="F950" s="10"/>
      <c r="G950" s="9"/>
      <c r="H950" s="9"/>
      <c r="I950" s="33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33"/>
      <c r="F951" s="10"/>
      <c r="G951" s="9"/>
      <c r="H951" s="9"/>
      <c r="I951" s="33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33"/>
      <c r="F952" s="10"/>
      <c r="G952" s="9"/>
      <c r="H952" s="9"/>
      <c r="I952" s="33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33"/>
      <c r="F953" s="10"/>
      <c r="G953" s="9"/>
      <c r="H953" s="9"/>
      <c r="I953" s="33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33"/>
      <c r="F954" s="10"/>
      <c r="G954" s="9"/>
      <c r="H954" s="9"/>
      <c r="I954" s="33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33"/>
      <c r="F955" s="10"/>
      <c r="G955" s="9"/>
      <c r="H955" s="9"/>
      <c r="I955" s="33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33"/>
      <c r="F956" s="10"/>
      <c r="G956" s="9"/>
      <c r="H956" s="9"/>
      <c r="I956" s="33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33"/>
      <c r="F957" s="10"/>
      <c r="G957" s="9"/>
      <c r="H957" s="9"/>
      <c r="I957" s="33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33"/>
      <c r="F958" s="10"/>
      <c r="G958" s="9"/>
      <c r="H958" s="9"/>
      <c r="I958" s="33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33"/>
      <c r="F959" s="10"/>
      <c r="G959" s="9"/>
      <c r="H959" s="9"/>
      <c r="I959" s="33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33"/>
      <c r="F960" s="10"/>
      <c r="G960" s="9"/>
      <c r="H960" s="9"/>
      <c r="I960" s="33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33"/>
      <c r="F961" s="10"/>
      <c r="G961" s="9"/>
      <c r="H961" s="9"/>
      <c r="I961" s="33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33"/>
      <c r="F962" s="10"/>
      <c r="G962" s="9"/>
      <c r="H962" s="9"/>
      <c r="I962" s="33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33"/>
      <c r="F963" s="10"/>
      <c r="G963" s="9"/>
      <c r="H963" s="9"/>
      <c r="I963" s="33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33"/>
      <c r="F964" s="10"/>
      <c r="G964" s="9"/>
      <c r="H964" s="9"/>
      <c r="I964" s="33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33"/>
      <c r="F965" s="10"/>
      <c r="G965" s="9"/>
      <c r="H965" s="9"/>
      <c r="I965" s="33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33"/>
      <c r="F966" s="10"/>
      <c r="G966" s="9"/>
      <c r="H966" s="9"/>
      <c r="I966" s="33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33"/>
      <c r="F967" s="10"/>
      <c r="G967" s="9"/>
      <c r="H967" s="9"/>
      <c r="I967" s="33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33"/>
      <c r="F968" s="10"/>
      <c r="G968" s="9"/>
      <c r="H968" s="9"/>
      <c r="I968" s="33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33"/>
      <c r="F969" s="10"/>
      <c r="G969" s="9"/>
      <c r="H969" s="9"/>
      <c r="I969" s="33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33"/>
      <c r="F970" s="10"/>
      <c r="G970" s="9"/>
      <c r="H970" s="9"/>
      <c r="I970" s="33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33"/>
      <c r="F971" s="10"/>
      <c r="G971" s="9"/>
      <c r="H971" s="9"/>
      <c r="I971" s="33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33"/>
      <c r="F972" s="10"/>
      <c r="G972" s="9"/>
      <c r="H972" s="9"/>
      <c r="I972" s="33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33"/>
      <c r="F973" s="10"/>
      <c r="G973" s="9"/>
      <c r="H973" s="9"/>
      <c r="I973" s="33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33"/>
      <c r="F974" s="10"/>
      <c r="G974" s="9"/>
      <c r="H974" s="9"/>
      <c r="I974" s="33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33"/>
      <c r="F975" s="10"/>
      <c r="G975" s="9"/>
      <c r="H975" s="9"/>
      <c r="I975" s="33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33"/>
      <c r="F976" s="10"/>
      <c r="G976" s="9"/>
      <c r="H976" s="9"/>
      <c r="I976" s="33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33"/>
      <c r="F977" s="10"/>
      <c r="G977" s="9"/>
      <c r="H977" s="9"/>
      <c r="I977" s="33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33"/>
      <c r="F978" s="10"/>
      <c r="G978" s="9"/>
      <c r="H978" s="9"/>
      <c r="I978" s="33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33"/>
      <c r="F979" s="10"/>
      <c r="G979" s="9"/>
      <c r="H979" s="9"/>
      <c r="I979" s="33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33"/>
      <c r="F980" s="10"/>
      <c r="G980" s="9"/>
      <c r="H980" s="9"/>
      <c r="I980" s="33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33"/>
      <c r="F981" s="10"/>
      <c r="G981" s="9"/>
      <c r="H981" s="9"/>
      <c r="I981" s="33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33"/>
      <c r="F982" s="10"/>
      <c r="G982" s="9"/>
      <c r="H982" s="9"/>
      <c r="I982" s="33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33"/>
      <c r="F983" s="10"/>
      <c r="G983" s="9"/>
      <c r="H983" s="9"/>
      <c r="I983" s="33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33"/>
      <c r="F984" s="10"/>
      <c r="G984" s="9"/>
      <c r="H984" s="9"/>
      <c r="I984" s="33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33"/>
      <c r="F985" s="10"/>
      <c r="G985" s="9"/>
      <c r="H985" s="9"/>
      <c r="I985" s="33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33"/>
      <c r="F986" s="10"/>
      <c r="G986" s="9"/>
      <c r="H986" s="9"/>
      <c r="I986" s="33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33"/>
      <c r="F987" s="10"/>
      <c r="G987" s="9"/>
      <c r="H987" s="9"/>
      <c r="I987" s="33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33"/>
      <c r="F988" s="10"/>
      <c r="G988" s="9"/>
      <c r="H988" s="9"/>
      <c r="I988" s="33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33"/>
      <c r="F989" s="10"/>
      <c r="G989" s="9"/>
      <c r="H989" s="9"/>
      <c r="I989" s="33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33"/>
      <c r="F990" s="10"/>
      <c r="G990" s="9"/>
      <c r="H990" s="9"/>
      <c r="I990" s="33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33"/>
      <c r="F991" s="10"/>
      <c r="G991" s="9"/>
      <c r="H991" s="9"/>
      <c r="I991" s="33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33"/>
      <c r="F992" s="10"/>
      <c r="G992" s="9"/>
      <c r="H992" s="9"/>
      <c r="I992" s="33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33"/>
      <c r="F993" s="10"/>
      <c r="G993" s="9"/>
      <c r="H993" s="9"/>
      <c r="I993" s="33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33"/>
      <c r="F994" s="10"/>
      <c r="G994" s="9"/>
      <c r="H994" s="9"/>
      <c r="I994" s="33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33"/>
      <c r="F995" s="10"/>
      <c r="G995" s="9"/>
      <c r="H995" s="9"/>
      <c r="I995" s="33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33"/>
      <c r="F996" s="10"/>
      <c r="G996" s="9"/>
      <c r="H996" s="9"/>
      <c r="I996" s="33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33"/>
      <c r="F997" s="10"/>
      <c r="G997" s="9"/>
      <c r="H997" s="9"/>
      <c r="I997" s="33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33"/>
      <c r="F998" s="10"/>
      <c r="G998" s="9"/>
      <c r="H998" s="9"/>
      <c r="I998" s="33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33"/>
      <c r="F999" s="10"/>
      <c r="G999" s="9"/>
      <c r="H999" s="9"/>
      <c r="I999" s="33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33"/>
      <c r="F1000" s="10"/>
      <c r="G1000" s="9"/>
      <c r="H1000" s="9"/>
      <c r="I1000" s="33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mergeCells count="2">
    <mergeCell ref="A1:A2"/>
    <mergeCell ref="B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8.86"/>
    <col customWidth="1" min="3" max="3" width="21.29"/>
    <col customWidth="1" min="4" max="4" width="34.29"/>
    <col customWidth="1" min="5" max="5" width="29.29"/>
    <col customWidth="1" min="6" max="6" width="28.14"/>
    <col customWidth="1" min="7" max="8" width="28.86"/>
    <col customWidth="1" min="9" max="9" width="22.43"/>
    <col customWidth="1" min="12" max="12" width="17.29"/>
    <col hidden="1" min="13" max="14" width="14.43"/>
  </cols>
  <sheetData>
    <row r="1">
      <c r="A1" s="1" t="s">
        <v>0</v>
      </c>
      <c r="B1" s="2" t="s">
        <v>1</v>
      </c>
      <c r="C1" s="3"/>
      <c r="D1" s="4">
        <v>40.0</v>
      </c>
      <c r="E1" s="5" t="s">
        <v>2</v>
      </c>
      <c r="F1" s="6">
        <v>20.0</v>
      </c>
      <c r="G1" s="5"/>
      <c r="H1" s="5" t="s">
        <v>3</v>
      </c>
      <c r="I1" s="34">
        <f>F1*D1</f>
        <v>800</v>
      </c>
      <c r="J1" s="7"/>
      <c r="K1" s="7"/>
      <c r="L1" s="7"/>
      <c r="M1" s="8">
        <f>D1</f>
        <v>40</v>
      </c>
      <c r="N1" s="34">
        <f>I1</f>
        <v>800</v>
      </c>
      <c r="O1" s="7"/>
      <c r="P1" s="9"/>
      <c r="Q1" s="10">
        <f>F1</f>
        <v>20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/>
      <c r="B2" s="12" t="s">
        <v>4</v>
      </c>
      <c r="C2" s="12" t="s">
        <v>5</v>
      </c>
      <c r="D2" s="13" t="s">
        <v>6</v>
      </c>
      <c r="E2" s="14" t="s">
        <v>7</v>
      </c>
      <c r="F2" s="15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7">
        <f t="shared" ref="M2:N2" si="1">M1</f>
        <v>40</v>
      </c>
      <c r="N2" s="35">
        <f t="shared" si="1"/>
        <v>800</v>
      </c>
      <c r="O2" s="16" t="s">
        <v>16</v>
      </c>
      <c r="P2" s="19"/>
      <c r="Q2" s="20">
        <f t="shared" ref="Q2:Q193" si="3">Q1</f>
        <v>20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21">
        <v>1.0</v>
      </c>
      <c r="B3" s="22">
        <v>44317.0</v>
      </c>
      <c r="C3" s="21">
        <v>6.0</v>
      </c>
      <c r="D3" s="21">
        <f>C3</f>
        <v>6</v>
      </c>
      <c r="E3" s="23">
        <f t="shared" ref="E3:E33" si="4">D3/M1</f>
        <v>0.15</v>
      </c>
      <c r="F3" s="24">
        <f t="shared" ref="F3:F33" si="5">E3*N1</f>
        <v>120</v>
      </c>
      <c r="G3" s="21">
        <v>1.0</v>
      </c>
      <c r="H3" s="25">
        <f>G3</f>
        <v>1</v>
      </c>
      <c r="I3" s="23">
        <f t="shared" ref="I3:I33" si="6">H3/M1</f>
        <v>0.025</v>
      </c>
      <c r="J3" s="24">
        <f t="shared" ref="J3:J33" si="7">I3*N1</f>
        <v>20</v>
      </c>
      <c r="K3" s="21">
        <v>1.0</v>
      </c>
      <c r="L3" s="25">
        <f>K3</f>
        <v>1</v>
      </c>
      <c r="M3" s="26">
        <f t="shared" ref="M3:N3" si="2">M2</f>
        <v>40</v>
      </c>
      <c r="N3" s="36">
        <f t="shared" si="2"/>
        <v>800</v>
      </c>
      <c r="O3" s="24">
        <f t="shared" ref="O3:O33" si="9">L3*Q1</f>
        <v>20</v>
      </c>
      <c r="P3" s="9"/>
      <c r="Q3" s="20">
        <f t="shared" si="3"/>
        <v>20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21">
        <v>2.0</v>
      </c>
      <c r="B4" s="22">
        <v>44318.0</v>
      </c>
      <c r="C4" s="21">
        <v>4.0</v>
      </c>
      <c r="D4" s="25">
        <f t="shared" ref="D4:D33" si="10">D3+C4</f>
        <v>10</v>
      </c>
      <c r="E4" s="23">
        <f t="shared" si="4"/>
        <v>0.25</v>
      </c>
      <c r="F4" s="24">
        <f t="shared" si="5"/>
        <v>200</v>
      </c>
      <c r="G4" s="21">
        <v>1.0</v>
      </c>
      <c r="H4" s="25">
        <f t="shared" ref="H4:H33" si="11">G4+H3</f>
        <v>2</v>
      </c>
      <c r="I4" s="23">
        <f t="shared" si="6"/>
        <v>0.05</v>
      </c>
      <c r="J4" s="24">
        <f t="shared" si="7"/>
        <v>40</v>
      </c>
      <c r="K4" s="25"/>
      <c r="L4" s="25">
        <f t="shared" ref="L4:L33" si="12">K4+L3</f>
        <v>1</v>
      </c>
      <c r="M4" s="26">
        <f t="shared" ref="M4:N4" si="8">M3</f>
        <v>40</v>
      </c>
      <c r="N4" s="36">
        <f t="shared" si="8"/>
        <v>800</v>
      </c>
      <c r="O4" s="24">
        <f t="shared" si="9"/>
        <v>20</v>
      </c>
      <c r="P4" s="9"/>
      <c r="Q4" s="20">
        <f t="shared" si="3"/>
        <v>20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21">
        <v>3.0</v>
      </c>
      <c r="B5" s="22">
        <v>44319.0</v>
      </c>
      <c r="C5" s="21"/>
      <c r="D5" s="25">
        <f t="shared" si="10"/>
        <v>10</v>
      </c>
      <c r="E5" s="23">
        <f t="shared" si="4"/>
        <v>0.25</v>
      </c>
      <c r="F5" s="24">
        <f t="shared" si="5"/>
        <v>200</v>
      </c>
      <c r="G5" s="21">
        <v>1.0</v>
      </c>
      <c r="H5" s="25">
        <f t="shared" si="11"/>
        <v>3</v>
      </c>
      <c r="I5" s="23">
        <f t="shared" si="6"/>
        <v>0.075</v>
      </c>
      <c r="J5" s="24">
        <f t="shared" si="7"/>
        <v>60</v>
      </c>
      <c r="K5" s="25"/>
      <c r="L5" s="25">
        <f t="shared" si="12"/>
        <v>1</v>
      </c>
      <c r="M5" s="26">
        <f t="shared" ref="M5:N5" si="13">M4</f>
        <v>40</v>
      </c>
      <c r="N5" s="36">
        <f t="shared" si="13"/>
        <v>800</v>
      </c>
      <c r="O5" s="24">
        <f t="shared" si="9"/>
        <v>20</v>
      </c>
      <c r="P5" s="9"/>
      <c r="Q5" s="20">
        <f t="shared" si="3"/>
        <v>20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21">
        <v>4.0</v>
      </c>
      <c r="B6" s="22">
        <v>44320.0</v>
      </c>
      <c r="C6" s="21"/>
      <c r="D6" s="25">
        <f t="shared" si="10"/>
        <v>10</v>
      </c>
      <c r="E6" s="23">
        <f t="shared" si="4"/>
        <v>0.25</v>
      </c>
      <c r="F6" s="24">
        <f t="shared" si="5"/>
        <v>200</v>
      </c>
      <c r="G6" s="21">
        <v>1.0</v>
      </c>
      <c r="H6" s="25">
        <f t="shared" si="11"/>
        <v>4</v>
      </c>
      <c r="I6" s="23">
        <f t="shared" si="6"/>
        <v>0.1</v>
      </c>
      <c r="J6" s="24">
        <f t="shared" si="7"/>
        <v>80</v>
      </c>
      <c r="K6" s="21">
        <v>5.0</v>
      </c>
      <c r="L6" s="25">
        <f t="shared" si="12"/>
        <v>6</v>
      </c>
      <c r="M6" s="26">
        <f t="shared" ref="M6:N6" si="14">M5</f>
        <v>40</v>
      </c>
      <c r="N6" s="36">
        <f t="shared" si="14"/>
        <v>800</v>
      </c>
      <c r="O6" s="24">
        <f t="shared" si="9"/>
        <v>120</v>
      </c>
      <c r="P6" s="9"/>
      <c r="Q6" s="20">
        <f t="shared" si="3"/>
        <v>20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1">
        <v>5.0</v>
      </c>
      <c r="B7" s="22">
        <v>44321.0</v>
      </c>
      <c r="C7" s="21"/>
      <c r="D7" s="25">
        <f t="shared" si="10"/>
        <v>10</v>
      </c>
      <c r="E7" s="23">
        <f t="shared" si="4"/>
        <v>0.25</v>
      </c>
      <c r="F7" s="24">
        <f t="shared" si="5"/>
        <v>200</v>
      </c>
      <c r="G7" s="21">
        <v>1.0</v>
      </c>
      <c r="H7" s="25">
        <f t="shared" si="11"/>
        <v>5</v>
      </c>
      <c r="I7" s="23">
        <f t="shared" si="6"/>
        <v>0.125</v>
      </c>
      <c r="J7" s="24">
        <f t="shared" si="7"/>
        <v>100</v>
      </c>
      <c r="K7" s="25"/>
      <c r="L7" s="25">
        <f t="shared" si="12"/>
        <v>6</v>
      </c>
      <c r="M7" s="26">
        <f t="shared" ref="M7:N7" si="15">M6</f>
        <v>40</v>
      </c>
      <c r="N7" s="36">
        <f t="shared" si="15"/>
        <v>800</v>
      </c>
      <c r="O7" s="24">
        <f t="shared" si="9"/>
        <v>120</v>
      </c>
      <c r="P7" s="9"/>
      <c r="Q7" s="20">
        <f t="shared" si="3"/>
        <v>20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21">
        <v>6.0</v>
      </c>
      <c r="B8" s="22">
        <v>44322.0</v>
      </c>
      <c r="C8" s="21"/>
      <c r="D8" s="25">
        <f t="shared" si="10"/>
        <v>10</v>
      </c>
      <c r="E8" s="23">
        <f t="shared" si="4"/>
        <v>0.25</v>
      </c>
      <c r="F8" s="24">
        <f t="shared" si="5"/>
        <v>200</v>
      </c>
      <c r="G8" s="21">
        <v>1.0</v>
      </c>
      <c r="H8" s="25">
        <f t="shared" si="11"/>
        <v>6</v>
      </c>
      <c r="I8" s="23">
        <f t="shared" si="6"/>
        <v>0.15</v>
      </c>
      <c r="J8" s="24">
        <f t="shared" si="7"/>
        <v>120</v>
      </c>
      <c r="K8" s="25"/>
      <c r="L8" s="25">
        <f t="shared" si="12"/>
        <v>6</v>
      </c>
      <c r="M8" s="26">
        <f t="shared" ref="M8:N8" si="16">M7</f>
        <v>40</v>
      </c>
      <c r="N8" s="36">
        <f t="shared" si="16"/>
        <v>800</v>
      </c>
      <c r="O8" s="24">
        <f t="shared" si="9"/>
        <v>120</v>
      </c>
      <c r="P8" s="9"/>
      <c r="Q8" s="20">
        <f t="shared" si="3"/>
        <v>20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21">
        <v>7.0</v>
      </c>
      <c r="B9" s="22">
        <v>44323.0</v>
      </c>
      <c r="C9" s="21"/>
      <c r="D9" s="25">
        <f t="shared" si="10"/>
        <v>10</v>
      </c>
      <c r="E9" s="23">
        <f t="shared" si="4"/>
        <v>0.25</v>
      </c>
      <c r="F9" s="24">
        <f t="shared" si="5"/>
        <v>200</v>
      </c>
      <c r="G9" s="21">
        <v>1.0</v>
      </c>
      <c r="H9" s="25">
        <f t="shared" si="11"/>
        <v>7</v>
      </c>
      <c r="I9" s="23">
        <f t="shared" si="6"/>
        <v>0.175</v>
      </c>
      <c r="J9" s="24">
        <f t="shared" si="7"/>
        <v>140</v>
      </c>
      <c r="K9" s="25"/>
      <c r="L9" s="25">
        <f t="shared" si="12"/>
        <v>6</v>
      </c>
      <c r="M9" s="26">
        <f t="shared" ref="M9:N9" si="17">M8</f>
        <v>40</v>
      </c>
      <c r="N9" s="36">
        <f t="shared" si="17"/>
        <v>800</v>
      </c>
      <c r="O9" s="24">
        <f t="shared" si="9"/>
        <v>120</v>
      </c>
      <c r="P9" s="9"/>
      <c r="Q9" s="20">
        <f t="shared" si="3"/>
        <v>20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21">
        <v>8.0</v>
      </c>
      <c r="B10" s="22">
        <v>44324.0</v>
      </c>
      <c r="C10" s="21"/>
      <c r="D10" s="25">
        <f t="shared" si="10"/>
        <v>10</v>
      </c>
      <c r="E10" s="23">
        <f t="shared" si="4"/>
        <v>0.25</v>
      </c>
      <c r="F10" s="24">
        <f t="shared" si="5"/>
        <v>200</v>
      </c>
      <c r="G10" s="21">
        <v>1.0</v>
      </c>
      <c r="H10" s="25">
        <f t="shared" si="11"/>
        <v>8</v>
      </c>
      <c r="I10" s="23">
        <f t="shared" si="6"/>
        <v>0.2</v>
      </c>
      <c r="J10" s="24">
        <f t="shared" si="7"/>
        <v>160</v>
      </c>
      <c r="K10" s="25"/>
      <c r="L10" s="25">
        <f t="shared" si="12"/>
        <v>6</v>
      </c>
      <c r="M10" s="26">
        <f t="shared" ref="M10:N10" si="18">M9</f>
        <v>40</v>
      </c>
      <c r="N10" s="36">
        <f t="shared" si="18"/>
        <v>800</v>
      </c>
      <c r="O10" s="24">
        <f t="shared" si="9"/>
        <v>120</v>
      </c>
      <c r="P10" s="9"/>
      <c r="Q10" s="20">
        <f t="shared" si="3"/>
        <v>20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21">
        <v>9.0</v>
      </c>
      <c r="B11" s="22">
        <v>44325.0</v>
      </c>
      <c r="C11" s="21"/>
      <c r="D11" s="25">
        <f t="shared" si="10"/>
        <v>10</v>
      </c>
      <c r="E11" s="23">
        <f t="shared" si="4"/>
        <v>0.25</v>
      </c>
      <c r="F11" s="24">
        <f t="shared" si="5"/>
        <v>200</v>
      </c>
      <c r="G11" s="21">
        <v>1.0</v>
      </c>
      <c r="H11" s="25">
        <f t="shared" si="11"/>
        <v>9</v>
      </c>
      <c r="I11" s="23">
        <f t="shared" si="6"/>
        <v>0.225</v>
      </c>
      <c r="J11" s="24">
        <f t="shared" si="7"/>
        <v>180</v>
      </c>
      <c r="K11" s="25"/>
      <c r="L11" s="25">
        <f t="shared" si="12"/>
        <v>6</v>
      </c>
      <c r="M11" s="26">
        <f t="shared" ref="M11:N11" si="19">M10</f>
        <v>40</v>
      </c>
      <c r="N11" s="36">
        <f t="shared" si="19"/>
        <v>800</v>
      </c>
      <c r="O11" s="24">
        <f t="shared" si="9"/>
        <v>120</v>
      </c>
      <c r="P11" s="9"/>
      <c r="Q11" s="20">
        <f t="shared" si="3"/>
        <v>20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21">
        <v>10.0</v>
      </c>
      <c r="B12" s="22">
        <v>44326.0</v>
      </c>
      <c r="C12" s="21"/>
      <c r="D12" s="25">
        <f t="shared" si="10"/>
        <v>10</v>
      </c>
      <c r="E12" s="23">
        <f t="shared" si="4"/>
        <v>0.25</v>
      </c>
      <c r="F12" s="24">
        <f t="shared" si="5"/>
        <v>200</v>
      </c>
      <c r="G12" s="21">
        <v>1.0</v>
      </c>
      <c r="H12" s="25">
        <f t="shared" si="11"/>
        <v>10</v>
      </c>
      <c r="I12" s="23">
        <f t="shared" si="6"/>
        <v>0.25</v>
      </c>
      <c r="J12" s="24">
        <f t="shared" si="7"/>
        <v>200</v>
      </c>
      <c r="K12" s="25"/>
      <c r="L12" s="25">
        <f t="shared" si="12"/>
        <v>6</v>
      </c>
      <c r="M12" s="26">
        <f t="shared" ref="M12:N12" si="20">M11</f>
        <v>40</v>
      </c>
      <c r="N12" s="36">
        <f t="shared" si="20"/>
        <v>800</v>
      </c>
      <c r="O12" s="24">
        <f t="shared" si="9"/>
        <v>120</v>
      </c>
      <c r="P12" s="9"/>
      <c r="Q12" s="20">
        <f t="shared" si="3"/>
        <v>20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21">
        <v>11.0</v>
      </c>
      <c r="B13" s="22">
        <v>44327.0</v>
      </c>
      <c r="C13" s="21"/>
      <c r="D13" s="25">
        <f t="shared" si="10"/>
        <v>10</v>
      </c>
      <c r="E13" s="23">
        <f t="shared" si="4"/>
        <v>0.25</v>
      </c>
      <c r="F13" s="24">
        <f t="shared" si="5"/>
        <v>200</v>
      </c>
      <c r="G13" s="21">
        <v>1.0</v>
      </c>
      <c r="H13" s="25">
        <f t="shared" si="11"/>
        <v>11</v>
      </c>
      <c r="I13" s="23">
        <f t="shared" si="6"/>
        <v>0.275</v>
      </c>
      <c r="J13" s="24">
        <f t="shared" si="7"/>
        <v>220</v>
      </c>
      <c r="K13" s="25"/>
      <c r="L13" s="25">
        <f t="shared" si="12"/>
        <v>6</v>
      </c>
      <c r="M13" s="26">
        <f t="shared" ref="M13:N13" si="21">M12</f>
        <v>40</v>
      </c>
      <c r="N13" s="36">
        <f t="shared" si="21"/>
        <v>800</v>
      </c>
      <c r="O13" s="24">
        <f t="shared" si="9"/>
        <v>120</v>
      </c>
      <c r="P13" s="9"/>
      <c r="Q13" s="20">
        <f t="shared" si="3"/>
        <v>20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21">
        <v>12.0</v>
      </c>
      <c r="B14" s="22">
        <v>44328.0</v>
      </c>
      <c r="C14" s="21"/>
      <c r="D14" s="25">
        <f t="shared" si="10"/>
        <v>10</v>
      </c>
      <c r="E14" s="23">
        <f t="shared" si="4"/>
        <v>0.25</v>
      </c>
      <c r="F14" s="24">
        <f t="shared" si="5"/>
        <v>200</v>
      </c>
      <c r="G14" s="21">
        <v>1.0</v>
      </c>
      <c r="H14" s="25">
        <f t="shared" si="11"/>
        <v>12</v>
      </c>
      <c r="I14" s="23">
        <f t="shared" si="6"/>
        <v>0.3</v>
      </c>
      <c r="J14" s="24">
        <f t="shared" si="7"/>
        <v>240</v>
      </c>
      <c r="K14" s="25"/>
      <c r="L14" s="25">
        <f t="shared" si="12"/>
        <v>6</v>
      </c>
      <c r="M14" s="26">
        <f t="shared" ref="M14:N14" si="22">M13</f>
        <v>40</v>
      </c>
      <c r="N14" s="36">
        <f t="shared" si="22"/>
        <v>800</v>
      </c>
      <c r="O14" s="24">
        <f t="shared" si="9"/>
        <v>120</v>
      </c>
      <c r="P14" s="9"/>
      <c r="Q14" s="20">
        <f t="shared" si="3"/>
        <v>20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21">
        <v>13.0</v>
      </c>
      <c r="B15" s="22">
        <v>44329.0</v>
      </c>
      <c r="C15" s="21"/>
      <c r="D15" s="25">
        <f t="shared" si="10"/>
        <v>10</v>
      </c>
      <c r="E15" s="23">
        <f t="shared" si="4"/>
        <v>0.25</v>
      </c>
      <c r="F15" s="24">
        <f t="shared" si="5"/>
        <v>200</v>
      </c>
      <c r="G15" s="21">
        <v>1.0</v>
      </c>
      <c r="H15" s="25">
        <f t="shared" si="11"/>
        <v>13</v>
      </c>
      <c r="I15" s="23">
        <f t="shared" si="6"/>
        <v>0.325</v>
      </c>
      <c r="J15" s="24">
        <f t="shared" si="7"/>
        <v>260</v>
      </c>
      <c r="K15" s="25"/>
      <c r="L15" s="25">
        <f t="shared" si="12"/>
        <v>6</v>
      </c>
      <c r="M15" s="26">
        <f t="shared" ref="M15:N15" si="23">M14</f>
        <v>40</v>
      </c>
      <c r="N15" s="36">
        <f t="shared" si="23"/>
        <v>800</v>
      </c>
      <c r="O15" s="24">
        <f t="shared" si="9"/>
        <v>120</v>
      </c>
      <c r="P15" s="9"/>
      <c r="Q15" s="20">
        <f t="shared" si="3"/>
        <v>20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21">
        <v>14.0</v>
      </c>
      <c r="B16" s="22">
        <v>44330.0</v>
      </c>
      <c r="C16" s="21"/>
      <c r="D16" s="25">
        <f t="shared" si="10"/>
        <v>10</v>
      </c>
      <c r="E16" s="23">
        <f t="shared" si="4"/>
        <v>0.25</v>
      </c>
      <c r="F16" s="24">
        <f t="shared" si="5"/>
        <v>200</v>
      </c>
      <c r="G16" s="21">
        <v>1.0</v>
      </c>
      <c r="H16" s="25">
        <f t="shared" si="11"/>
        <v>14</v>
      </c>
      <c r="I16" s="23">
        <f t="shared" si="6"/>
        <v>0.35</v>
      </c>
      <c r="J16" s="24">
        <f t="shared" si="7"/>
        <v>280</v>
      </c>
      <c r="K16" s="25"/>
      <c r="L16" s="25">
        <f t="shared" si="12"/>
        <v>6</v>
      </c>
      <c r="M16" s="26">
        <f t="shared" ref="M16:N16" si="24">M15</f>
        <v>40</v>
      </c>
      <c r="N16" s="36">
        <f t="shared" si="24"/>
        <v>800</v>
      </c>
      <c r="O16" s="24">
        <f t="shared" si="9"/>
        <v>120</v>
      </c>
      <c r="P16" s="9"/>
      <c r="Q16" s="20">
        <f t="shared" si="3"/>
        <v>20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21">
        <v>15.0</v>
      </c>
      <c r="B17" s="22">
        <v>44331.0</v>
      </c>
      <c r="C17" s="21"/>
      <c r="D17" s="25">
        <f t="shared" si="10"/>
        <v>10</v>
      </c>
      <c r="E17" s="23">
        <f t="shared" si="4"/>
        <v>0.25</v>
      </c>
      <c r="F17" s="24">
        <f t="shared" si="5"/>
        <v>200</v>
      </c>
      <c r="G17" s="21">
        <v>1.0</v>
      </c>
      <c r="H17" s="25">
        <f t="shared" si="11"/>
        <v>15</v>
      </c>
      <c r="I17" s="23">
        <f t="shared" si="6"/>
        <v>0.375</v>
      </c>
      <c r="J17" s="24">
        <f t="shared" si="7"/>
        <v>300</v>
      </c>
      <c r="K17" s="25"/>
      <c r="L17" s="25">
        <f t="shared" si="12"/>
        <v>6</v>
      </c>
      <c r="M17" s="26">
        <f t="shared" ref="M17:N17" si="25">M16</f>
        <v>40</v>
      </c>
      <c r="N17" s="36">
        <f t="shared" si="25"/>
        <v>800</v>
      </c>
      <c r="O17" s="24">
        <f t="shared" si="9"/>
        <v>120</v>
      </c>
      <c r="P17" s="9"/>
      <c r="Q17" s="20">
        <f t="shared" si="3"/>
        <v>20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21">
        <v>16.0</v>
      </c>
      <c r="B18" s="22">
        <v>44332.0</v>
      </c>
      <c r="C18" s="21"/>
      <c r="D18" s="25">
        <f t="shared" si="10"/>
        <v>10</v>
      </c>
      <c r="E18" s="23">
        <f t="shared" si="4"/>
        <v>0.25</v>
      </c>
      <c r="F18" s="24">
        <f t="shared" si="5"/>
        <v>200</v>
      </c>
      <c r="G18" s="21">
        <v>1.0</v>
      </c>
      <c r="H18" s="25">
        <f t="shared" si="11"/>
        <v>16</v>
      </c>
      <c r="I18" s="23">
        <f t="shared" si="6"/>
        <v>0.4</v>
      </c>
      <c r="J18" s="24">
        <f t="shared" si="7"/>
        <v>320</v>
      </c>
      <c r="K18" s="25"/>
      <c r="L18" s="25">
        <f t="shared" si="12"/>
        <v>6</v>
      </c>
      <c r="M18" s="26">
        <f t="shared" ref="M18:N18" si="26">M17</f>
        <v>40</v>
      </c>
      <c r="N18" s="36">
        <f t="shared" si="26"/>
        <v>800</v>
      </c>
      <c r="O18" s="24">
        <f t="shared" si="9"/>
        <v>120</v>
      </c>
      <c r="P18" s="9"/>
      <c r="Q18" s="20">
        <f t="shared" si="3"/>
        <v>20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21">
        <v>17.0</v>
      </c>
      <c r="B19" s="22">
        <v>44333.0</v>
      </c>
      <c r="C19" s="21"/>
      <c r="D19" s="25">
        <f t="shared" si="10"/>
        <v>10</v>
      </c>
      <c r="E19" s="23">
        <f t="shared" si="4"/>
        <v>0.25</v>
      </c>
      <c r="F19" s="24">
        <f t="shared" si="5"/>
        <v>200</v>
      </c>
      <c r="G19" s="21">
        <v>1.0</v>
      </c>
      <c r="H19" s="25">
        <f t="shared" si="11"/>
        <v>17</v>
      </c>
      <c r="I19" s="23">
        <f t="shared" si="6"/>
        <v>0.425</v>
      </c>
      <c r="J19" s="24">
        <f t="shared" si="7"/>
        <v>340</v>
      </c>
      <c r="K19" s="25"/>
      <c r="L19" s="25">
        <f t="shared" si="12"/>
        <v>6</v>
      </c>
      <c r="M19" s="26">
        <f t="shared" ref="M19:N19" si="27">M18</f>
        <v>40</v>
      </c>
      <c r="N19" s="36">
        <f t="shared" si="27"/>
        <v>800</v>
      </c>
      <c r="O19" s="24">
        <f t="shared" si="9"/>
        <v>120</v>
      </c>
      <c r="P19" s="9"/>
      <c r="Q19" s="20">
        <f t="shared" si="3"/>
        <v>20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21">
        <v>18.0</v>
      </c>
      <c r="B20" s="22">
        <v>44334.0</v>
      </c>
      <c r="C20" s="21"/>
      <c r="D20" s="25">
        <f t="shared" si="10"/>
        <v>10</v>
      </c>
      <c r="E20" s="23">
        <f t="shared" si="4"/>
        <v>0.25</v>
      </c>
      <c r="F20" s="24">
        <f t="shared" si="5"/>
        <v>200</v>
      </c>
      <c r="G20" s="21">
        <v>1.0</v>
      </c>
      <c r="H20" s="25">
        <f t="shared" si="11"/>
        <v>18</v>
      </c>
      <c r="I20" s="23">
        <f t="shared" si="6"/>
        <v>0.45</v>
      </c>
      <c r="J20" s="24">
        <f t="shared" si="7"/>
        <v>360</v>
      </c>
      <c r="K20" s="25"/>
      <c r="L20" s="25">
        <f t="shared" si="12"/>
        <v>6</v>
      </c>
      <c r="M20" s="26">
        <f t="shared" ref="M20:N20" si="28">M19</f>
        <v>40</v>
      </c>
      <c r="N20" s="36">
        <f t="shared" si="28"/>
        <v>800</v>
      </c>
      <c r="O20" s="24">
        <f t="shared" si="9"/>
        <v>120</v>
      </c>
      <c r="P20" s="9"/>
      <c r="Q20" s="20">
        <f t="shared" si="3"/>
        <v>20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21">
        <v>19.0</v>
      </c>
      <c r="B21" s="22">
        <v>44335.0</v>
      </c>
      <c r="C21" s="21"/>
      <c r="D21" s="25">
        <f t="shared" si="10"/>
        <v>10</v>
      </c>
      <c r="E21" s="23">
        <f t="shared" si="4"/>
        <v>0.25</v>
      </c>
      <c r="F21" s="24">
        <f t="shared" si="5"/>
        <v>200</v>
      </c>
      <c r="G21" s="21">
        <v>1.0</v>
      </c>
      <c r="H21" s="25">
        <f t="shared" si="11"/>
        <v>19</v>
      </c>
      <c r="I21" s="23">
        <f t="shared" si="6"/>
        <v>0.475</v>
      </c>
      <c r="J21" s="24">
        <f t="shared" si="7"/>
        <v>380</v>
      </c>
      <c r="K21" s="25"/>
      <c r="L21" s="25">
        <f t="shared" si="12"/>
        <v>6</v>
      </c>
      <c r="M21" s="26">
        <f t="shared" ref="M21:N21" si="29">M20</f>
        <v>40</v>
      </c>
      <c r="N21" s="36">
        <f t="shared" si="29"/>
        <v>800</v>
      </c>
      <c r="O21" s="24">
        <f t="shared" si="9"/>
        <v>120</v>
      </c>
      <c r="P21" s="9"/>
      <c r="Q21" s="20">
        <f t="shared" si="3"/>
        <v>20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1">
        <v>20.0</v>
      </c>
      <c r="B22" s="22">
        <v>44336.0</v>
      </c>
      <c r="C22" s="21"/>
      <c r="D22" s="25">
        <f t="shared" si="10"/>
        <v>10</v>
      </c>
      <c r="E22" s="23">
        <f t="shared" si="4"/>
        <v>0.25</v>
      </c>
      <c r="F22" s="24">
        <f t="shared" si="5"/>
        <v>200</v>
      </c>
      <c r="G22" s="21">
        <v>1.0</v>
      </c>
      <c r="H22" s="25">
        <f t="shared" si="11"/>
        <v>20</v>
      </c>
      <c r="I22" s="23">
        <f t="shared" si="6"/>
        <v>0.5</v>
      </c>
      <c r="J22" s="24">
        <f t="shared" si="7"/>
        <v>400</v>
      </c>
      <c r="K22" s="25"/>
      <c r="L22" s="25">
        <f t="shared" si="12"/>
        <v>6</v>
      </c>
      <c r="M22" s="26">
        <f t="shared" ref="M22:N22" si="30">M21</f>
        <v>40</v>
      </c>
      <c r="N22" s="36">
        <f t="shared" si="30"/>
        <v>800</v>
      </c>
      <c r="O22" s="24">
        <f t="shared" si="9"/>
        <v>120</v>
      </c>
      <c r="P22" s="9"/>
      <c r="Q22" s="20">
        <f t="shared" si="3"/>
        <v>20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21">
        <v>21.0</v>
      </c>
      <c r="B23" s="22">
        <v>44337.0</v>
      </c>
      <c r="C23" s="21"/>
      <c r="D23" s="25">
        <f t="shared" si="10"/>
        <v>10</v>
      </c>
      <c r="E23" s="23">
        <f t="shared" si="4"/>
        <v>0.25</v>
      </c>
      <c r="F23" s="24">
        <f t="shared" si="5"/>
        <v>200</v>
      </c>
      <c r="G23" s="21">
        <v>1.0</v>
      </c>
      <c r="H23" s="25">
        <f t="shared" si="11"/>
        <v>21</v>
      </c>
      <c r="I23" s="23">
        <f t="shared" si="6"/>
        <v>0.525</v>
      </c>
      <c r="J23" s="24">
        <f t="shared" si="7"/>
        <v>420</v>
      </c>
      <c r="K23" s="25"/>
      <c r="L23" s="25">
        <f t="shared" si="12"/>
        <v>6</v>
      </c>
      <c r="M23" s="26">
        <f t="shared" ref="M23:N23" si="31">M22</f>
        <v>40</v>
      </c>
      <c r="N23" s="36">
        <f t="shared" si="31"/>
        <v>800</v>
      </c>
      <c r="O23" s="24">
        <f t="shared" si="9"/>
        <v>120</v>
      </c>
      <c r="P23" s="9"/>
      <c r="Q23" s="20">
        <f t="shared" si="3"/>
        <v>20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21">
        <v>22.0</v>
      </c>
      <c r="B24" s="22">
        <v>44338.0</v>
      </c>
      <c r="C24" s="21"/>
      <c r="D24" s="25">
        <f t="shared" si="10"/>
        <v>10</v>
      </c>
      <c r="E24" s="23">
        <f t="shared" si="4"/>
        <v>0.25</v>
      </c>
      <c r="F24" s="24">
        <f t="shared" si="5"/>
        <v>200</v>
      </c>
      <c r="G24" s="21">
        <v>1.0</v>
      </c>
      <c r="H24" s="25">
        <f t="shared" si="11"/>
        <v>22</v>
      </c>
      <c r="I24" s="23">
        <f t="shared" si="6"/>
        <v>0.55</v>
      </c>
      <c r="J24" s="24">
        <f t="shared" si="7"/>
        <v>440</v>
      </c>
      <c r="K24" s="25"/>
      <c r="L24" s="25">
        <f t="shared" si="12"/>
        <v>6</v>
      </c>
      <c r="M24" s="26">
        <f t="shared" ref="M24:N24" si="32">M23</f>
        <v>40</v>
      </c>
      <c r="N24" s="36">
        <f t="shared" si="32"/>
        <v>800</v>
      </c>
      <c r="O24" s="24">
        <f t="shared" si="9"/>
        <v>120</v>
      </c>
      <c r="P24" s="9"/>
      <c r="Q24" s="20">
        <f t="shared" si="3"/>
        <v>20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21">
        <v>23.0</v>
      </c>
      <c r="B25" s="22">
        <v>44339.0</v>
      </c>
      <c r="C25" s="21"/>
      <c r="D25" s="25">
        <f t="shared" si="10"/>
        <v>10</v>
      </c>
      <c r="E25" s="23">
        <f t="shared" si="4"/>
        <v>0.25</v>
      </c>
      <c r="F25" s="24">
        <f t="shared" si="5"/>
        <v>200</v>
      </c>
      <c r="G25" s="21">
        <v>1.0</v>
      </c>
      <c r="H25" s="25">
        <f t="shared" si="11"/>
        <v>23</v>
      </c>
      <c r="I25" s="23">
        <f t="shared" si="6"/>
        <v>0.575</v>
      </c>
      <c r="J25" s="24">
        <f t="shared" si="7"/>
        <v>460</v>
      </c>
      <c r="K25" s="25"/>
      <c r="L25" s="25">
        <f t="shared" si="12"/>
        <v>6</v>
      </c>
      <c r="M25" s="26">
        <f t="shared" ref="M25:N25" si="33">M24</f>
        <v>40</v>
      </c>
      <c r="N25" s="36">
        <f t="shared" si="33"/>
        <v>800</v>
      </c>
      <c r="O25" s="24">
        <f t="shared" si="9"/>
        <v>120</v>
      </c>
      <c r="P25" s="9"/>
      <c r="Q25" s="20">
        <f t="shared" si="3"/>
        <v>20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1">
        <v>24.0</v>
      </c>
      <c r="B26" s="22">
        <v>44340.0</v>
      </c>
      <c r="C26" s="21"/>
      <c r="D26" s="25">
        <f t="shared" si="10"/>
        <v>10</v>
      </c>
      <c r="E26" s="23">
        <f t="shared" si="4"/>
        <v>0.25</v>
      </c>
      <c r="F26" s="24">
        <f t="shared" si="5"/>
        <v>200</v>
      </c>
      <c r="G26" s="21">
        <v>1.0</v>
      </c>
      <c r="H26" s="25">
        <f t="shared" si="11"/>
        <v>24</v>
      </c>
      <c r="I26" s="23">
        <f t="shared" si="6"/>
        <v>0.6</v>
      </c>
      <c r="J26" s="24">
        <f t="shared" si="7"/>
        <v>480</v>
      </c>
      <c r="K26" s="25"/>
      <c r="L26" s="25">
        <f t="shared" si="12"/>
        <v>6</v>
      </c>
      <c r="M26" s="26">
        <f t="shared" ref="M26:N26" si="34">M25</f>
        <v>40</v>
      </c>
      <c r="N26" s="36">
        <f t="shared" si="34"/>
        <v>800</v>
      </c>
      <c r="O26" s="24">
        <f t="shared" si="9"/>
        <v>120</v>
      </c>
      <c r="P26" s="9"/>
      <c r="Q26" s="20">
        <f t="shared" si="3"/>
        <v>20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21">
        <v>25.0</v>
      </c>
      <c r="B27" s="22">
        <v>44341.0</v>
      </c>
      <c r="C27" s="21"/>
      <c r="D27" s="25">
        <f t="shared" si="10"/>
        <v>10</v>
      </c>
      <c r="E27" s="23">
        <f t="shared" si="4"/>
        <v>0.25</v>
      </c>
      <c r="F27" s="24">
        <f t="shared" si="5"/>
        <v>200</v>
      </c>
      <c r="G27" s="21">
        <v>1.0</v>
      </c>
      <c r="H27" s="25">
        <f t="shared" si="11"/>
        <v>25</v>
      </c>
      <c r="I27" s="23">
        <f t="shared" si="6"/>
        <v>0.625</v>
      </c>
      <c r="J27" s="24">
        <f t="shared" si="7"/>
        <v>500</v>
      </c>
      <c r="K27" s="25"/>
      <c r="L27" s="25">
        <f t="shared" si="12"/>
        <v>6</v>
      </c>
      <c r="M27" s="26">
        <f t="shared" ref="M27:N27" si="35">M26</f>
        <v>40</v>
      </c>
      <c r="N27" s="36">
        <f t="shared" si="35"/>
        <v>800</v>
      </c>
      <c r="O27" s="24">
        <f t="shared" si="9"/>
        <v>120</v>
      </c>
      <c r="P27" s="9"/>
      <c r="Q27" s="20">
        <f t="shared" si="3"/>
        <v>20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21">
        <v>26.0</v>
      </c>
      <c r="B28" s="22">
        <v>44342.0</v>
      </c>
      <c r="C28" s="21"/>
      <c r="D28" s="25">
        <f t="shared" si="10"/>
        <v>10</v>
      </c>
      <c r="E28" s="23">
        <f t="shared" si="4"/>
        <v>0.25</v>
      </c>
      <c r="F28" s="24">
        <f t="shared" si="5"/>
        <v>200</v>
      </c>
      <c r="G28" s="21">
        <v>1.0</v>
      </c>
      <c r="H28" s="25">
        <f t="shared" si="11"/>
        <v>26</v>
      </c>
      <c r="I28" s="23">
        <f t="shared" si="6"/>
        <v>0.65</v>
      </c>
      <c r="J28" s="24">
        <f t="shared" si="7"/>
        <v>520</v>
      </c>
      <c r="K28" s="25"/>
      <c r="L28" s="25">
        <f t="shared" si="12"/>
        <v>6</v>
      </c>
      <c r="M28" s="26">
        <f t="shared" ref="M28:N28" si="36">M27</f>
        <v>40</v>
      </c>
      <c r="N28" s="36">
        <f t="shared" si="36"/>
        <v>800</v>
      </c>
      <c r="O28" s="24">
        <f t="shared" si="9"/>
        <v>120</v>
      </c>
      <c r="P28" s="9"/>
      <c r="Q28" s="20">
        <f t="shared" si="3"/>
        <v>20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1">
        <v>27.0</v>
      </c>
      <c r="B29" s="22">
        <v>44343.0</v>
      </c>
      <c r="C29" s="21"/>
      <c r="D29" s="25">
        <f t="shared" si="10"/>
        <v>10</v>
      </c>
      <c r="E29" s="23">
        <f t="shared" si="4"/>
        <v>0.25</v>
      </c>
      <c r="F29" s="24">
        <f t="shared" si="5"/>
        <v>200</v>
      </c>
      <c r="G29" s="21">
        <v>1.0</v>
      </c>
      <c r="H29" s="25">
        <f t="shared" si="11"/>
        <v>27</v>
      </c>
      <c r="I29" s="23">
        <f t="shared" si="6"/>
        <v>0.675</v>
      </c>
      <c r="J29" s="24">
        <f t="shared" si="7"/>
        <v>540</v>
      </c>
      <c r="K29" s="25"/>
      <c r="L29" s="25">
        <f t="shared" si="12"/>
        <v>6</v>
      </c>
      <c r="M29" s="26">
        <f t="shared" ref="M29:N29" si="37">M28</f>
        <v>40</v>
      </c>
      <c r="N29" s="36">
        <f t="shared" si="37"/>
        <v>800</v>
      </c>
      <c r="O29" s="24">
        <f t="shared" si="9"/>
        <v>120</v>
      </c>
      <c r="P29" s="9"/>
      <c r="Q29" s="20">
        <f t="shared" si="3"/>
        <v>20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21">
        <v>28.0</v>
      </c>
      <c r="B30" s="22">
        <v>44344.0</v>
      </c>
      <c r="C30" s="21"/>
      <c r="D30" s="25">
        <f t="shared" si="10"/>
        <v>10</v>
      </c>
      <c r="E30" s="23">
        <f t="shared" si="4"/>
        <v>0.25</v>
      </c>
      <c r="F30" s="24">
        <f t="shared" si="5"/>
        <v>200</v>
      </c>
      <c r="G30" s="21">
        <v>1.0</v>
      </c>
      <c r="H30" s="25">
        <f t="shared" si="11"/>
        <v>28</v>
      </c>
      <c r="I30" s="23">
        <f t="shared" si="6"/>
        <v>0.7</v>
      </c>
      <c r="J30" s="24">
        <f t="shared" si="7"/>
        <v>560</v>
      </c>
      <c r="K30" s="25"/>
      <c r="L30" s="25">
        <f t="shared" si="12"/>
        <v>6</v>
      </c>
      <c r="M30" s="26">
        <f t="shared" ref="M30:N30" si="38">M29</f>
        <v>40</v>
      </c>
      <c r="N30" s="36">
        <f t="shared" si="38"/>
        <v>800</v>
      </c>
      <c r="O30" s="24">
        <f t="shared" si="9"/>
        <v>120</v>
      </c>
      <c r="P30" s="9"/>
      <c r="Q30" s="20">
        <f t="shared" si="3"/>
        <v>20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21">
        <v>29.0</v>
      </c>
      <c r="B31" s="22">
        <v>44345.0</v>
      </c>
      <c r="C31" s="21"/>
      <c r="D31" s="25">
        <f t="shared" si="10"/>
        <v>10</v>
      </c>
      <c r="E31" s="23">
        <f t="shared" si="4"/>
        <v>0.25</v>
      </c>
      <c r="F31" s="24">
        <f t="shared" si="5"/>
        <v>200</v>
      </c>
      <c r="G31" s="21">
        <v>1.0</v>
      </c>
      <c r="H31" s="25">
        <f t="shared" si="11"/>
        <v>29</v>
      </c>
      <c r="I31" s="23">
        <f t="shared" si="6"/>
        <v>0.725</v>
      </c>
      <c r="J31" s="24">
        <f t="shared" si="7"/>
        <v>580</v>
      </c>
      <c r="K31" s="25"/>
      <c r="L31" s="25">
        <f t="shared" si="12"/>
        <v>6</v>
      </c>
      <c r="M31" s="26">
        <f t="shared" ref="M31:N31" si="39">M30</f>
        <v>40</v>
      </c>
      <c r="N31" s="36">
        <f t="shared" si="39"/>
        <v>800</v>
      </c>
      <c r="O31" s="24">
        <f t="shared" si="9"/>
        <v>120</v>
      </c>
      <c r="P31" s="9"/>
      <c r="Q31" s="20">
        <f t="shared" si="3"/>
        <v>20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21">
        <v>30.0</v>
      </c>
      <c r="B32" s="22">
        <v>44346.0</v>
      </c>
      <c r="C32" s="21"/>
      <c r="D32" s="25">
        <f t="shared" si="10"/>
        <v>10</v>
      </c>
      <c r="E32" s="23">
        <f t="shared" si="4"/>
        <v>0.25</v>
      </c>
      <c r="F32" s="24">
        <f t="shared" si="5"/>
        <v>200</v>
      </c>
      <c r="G32" s="21">
        <v>1.0</v>
      </c>
      <c r="H32" s="25">
        <f t="shared" si="11"/>
        <v>30</v>
      </c>
      <c r="I32" s="23">
        <f t="shared" si="6"/>
        <v>0.75</v>
      </c>
      <c r="J32" s="24">
        <f t="shared" si="7"/>
        <v>600</v>
      </c>
      <c r="K32" s="25"/>
      <c r="L32" s="25">
        <f t="shared" si="12"/>
        <v>6</v>
      </c>
      <c r="M32" s="26">
        <f t="shared" ref="M32:N32" si="40">M31</f>
        <v>40</v>
      </c>
      <c r="N32" s="36">
        <f t="shared" si="40"/>
        <v>800</v>
      </c>
      <c r="O32" s="24">
        <f t="shared" si="9"/>
        <v>120</v>
      </c>
      <c r="P32" s="9"/>
      <c r="Q32" s="20">
        <f t="shared" si="3"/>
        <v>20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1">
        <v>31.0</v>
      </c>
      <c r="B33" s="22">
        <v>44347.0</v>
      </c>
      <c r="C33" s="21"/>
      <c r="D33" s="25">
        <f t="shared" si="10"/>
        <v>10</v>
      </c>
      <c r="E33" s="23">
        <f t="shared" si="4"/>
        <v>0.25</v>
      </c>
      <c r="F33" s="24">
        <f t="shared" si="5"/>
        <v>200</v>
      </c>
      <c r="G33" s="21">
        <v>1.0</v>
      </c>
      <c r="H33" s="25">
        <f t="shared" si="11"/>
        <v>31</v>
      </c>
      <c r="I33" s="23">
        <f t="shared" si="6"/>
        <v>0.775</v>
      </c>
      <c r="J33" s="24">
        <f t="shared" si="7"/>
        <v>620</v>
      </c>
      <c r="K33" s="25"/>
      <c r="L33" s="25">
        <f t="shared" si="12"/>
        <v>6</v>
      </c>
      <c r="M33" s="26">
        <f t="shared" ref="M33:N33" si="41">M32</f>
        <v>40</v>
      </c>
      <c r="N33" s="36">
        <f t="shared" si="41"/>
        <v>800</v>
      </c>
      <c r="O33" s="24">
        <f t="shared" si="9"/>
        <v>120</v>
      </c>
      <c r="P33" s="9"/>
      <c r="Q33" s="20">
        <f t="shared" si="3"/>
        <v>20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25"/>
      <c r="B34" s="25"/>
      <c r="C34" s="25"/>
      <c r="D34" s="25"/>
      <c r="E34" s="23"/>
      <c r="F34" s="24"/>
      <c r="G34" s="25"/>
      <c r="H34" s="25"/>
      <c r="I34" s="23"/>
      <c r="J34" s="25"/>
      <c r="K34" s="25"/>
      <c r="L34" s="25"/>
      <c r="M34" s="26">
        <f t="shared" ref="M34:N34" si="42">M33</f>
        <v>40</v>
      </c>
      <c r="N34" s="36">
        <f t="shared" si="42"/>
        <v>800</v>
      </c>
      <c r="O34" s="25"/>
      <c r="P34" s="9"/>
      <c r="Q34" s="20">
        <f t="shared" si="3"/>
        <v>20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25"/>
      <c r="B35" s="25"/>
      <c r="C35" s="25"/>
      <c r="D35" s="25"/>
      <c r="E35" s="23"/>
      <c r="F35" s="24"/>
      <c r="G35" s="25"/>
      <c r="H35" s="25"/>
      <c r="I35" s="23"/>
      <c r="J35" s="25"/>
      <c r="K35" s="25"/>
      <c r="L35" s="25"/>
      <c r="M35" s="26">
        <f t="shared" ref="M35:N35" si="43">M34</f>
        <v>40</v>
      </c>
      <c r="N35" s="36">
        <f t="shared" si="43"/>
        <v>800</v>
      </c>
      <c r="O35" s="25"/>
      <c r="P35" s="9"/>
      <c r="Q35" s="20">
        <f t="shared" si="3"/>
        <v>20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25"/>
      <c r="B36" s="25"/>
      <c r="C36" s="25"/>
      <c r="D36" s="25"/>
      <c r="E36" s="23"/>
      <c r="F36" s="24"/>
      <c r="G36" s="25"/>
      <c r="H36" s="25"/>
      <c r="I36" s="23"/>
      <c r="J36" s="25"/>
      <c r="K36" s="25"/>
      <c r="L36" s="25"/>
      <c r="M36" s="26">
        <f t="shared" ref="M36:N36" si="44">M35</f>
        <v>40</v>
      </c>
      <c r="N36" s="36">
        <f t="shared" si="44"/>
        <v>800</v>
      </c>
      <c r="O36" s="25"/>
      <c r="P36" s="9"/>
      <c r="Q36" s="20">
        <f t="shared" si="3"/>
        <v>20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5"/>
      <c r="B37" s="25"/>
      <c r="C37" s="25"/>
      <c r="D37" s="25"/>
      <c r="E37" s="23"/>
      <c r="F37" s="24"/>
      <c r="G37" s="25"/>
      <c r="H37" s="25"/>
      <c r="I37" s="23"/>
      <c r="J37" s="25"/>
      <c r="K37" s="25"/>
      <c r="L37" s="25"/>
      <c r="M37" s="26">
        <f t="shared" ref="M37:N37" si="45">M36</f>
        <v>40</v>
      </c>
      <c r="N37" s="36">
        <f t="shared" si="45"/>
        <v>800</v>
      </c>
      <c r="O37" s="25"/>
      <c r="P37" s="9"/>
      <c r="Q37" s="20">
        <f t="shared" si="3"/>
        <v>20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25"/>
      <c r="B38" s="25"/>
      <c r="C38" s="25"/>
      <c r="D38" s="25"/>
      <c r="E38" s="23"/>
      <c r="F38" s="24"/>
      <c r="G38" s="25"/>
      <c r="H38" s="25"/>
      <c r="I38" s="23"/>
      <c r="J38" s="25"/>
      <c r="K38" s="25"/>
      <c r="L38" s="25"/>
      <c r="M38" s="26">
        <f t="shared" ref="M38:N38" si="46">M37</f>
        <v>40</v>
      </c>
      <c r="N38" s="36">
        <f t="shared" si="46"/>
        <v>800</v>
      </c>
      <c r="O38" s="25"/>
      <c r="P38" s="9"/>
      <c r="Q38" s="20">
        <f t="shared" si="3"/>
        <v>20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25"/>
      <c r="B39" s="25"/>
      <c r="C39" s="25"/>
      <c r="D39" s="25"/>
      <c r="E39" s="23"/>
      <c r="F39" s="24"/>
      <c r="G39" s="25"/>
      <c r="H39" s="25"/>
      <c r="I39" s="23"/>
      <c r="J39" s="25"/>
      <c r="K39" s="25"/>
      <c r="L39" s="25"/>
      <c r="M39" s="26">
        <f t="shared" ref="M39:N39" si="47">M38</f>
        <v>40</v>
      </c>
      <c r="N39" s="36">
        <f t="shared" si="47"/>
        <v>800</v>
      </c>
      <c r="O39" s="25"/>
      <c r="P39" s="9"/>
      <c r="Q39" s="20">
        <f t="shared" si="3"/>
        <v>20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5"/>
      <c r="B40" s="25"/>
      <c r="C40" s="25"/>
      <c r="D40" s="25"/>
      <c r="E40" s="23"/>
      <c r="F40" s="24"/>
      <c r="G40" s="25"/>
      <c r="H40" s="25"/>
      <c r="I40" s="23"/>
      <c r="J40" s="25"/>
      <c r="K40" s="25"/>
      <c r="L40" s="25"/>
      <c r="M40" s="26">
        <f t="shared" ref="M40:N40" si="48">M39</f>
        <v>40</v>
      </c>
      <c r="N40" s="36">
        <f t="shared" si="48"/>
        <v>800</v>
      </c>
      <c r="O40" s="25"/>
      <c r="P40" s="9"/>
      <c r="Q40" s="20">
        <f t="shared" si="3"/>
        <v>20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25"/>
      <c r="B41" s="25"/>
      <c r="C41" s="25"/>
      <c r="D41" s="25"/>
      <c r="E41" s="23"/>
      <c r="F41" s="24"/>
      <c r="G41" s="25"/>
      <c r="H41" s="25"/>
      <c r="I41" s="23"/>
      <c r="J41" s="25"/>
      <c r="K41" s="25"/>
      <c r="L41" s="25"/>
      <c r="M41" s="26">
        <f t="shared" ref="M41:N41" si="49">M40</f>
        <v>40</v>
      </c>
      <c r="N41" s="36">
        <f t="shared" si="49"/>
        <v>800</v>
      </c>
      <c r="O41" s="25"/>
      <c r="P41" s="9"/>
      <c r="Q41" s="20">
        <f t="shared" si="3"/>
        <v>20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25"/>
      <c r="B42" s="25"/>
      <c r="C42" s="25"/>
      <c r="D42" s="25"/>
      <c r="E42" s="23"/>
      <c r="F42" s="24"/>
      <c r="G42" s="25"/>
      <c r="H42" s="25"/>
      <c r="I42" s="23"/>
      <c r="J42" s="25"/>
      <c r="K42" s="25"/>
      <c r="L42" s="25"/>
      <c r="M42" s="26">
        <f t="shared" ref="M42:N42" si="50">M41</f>
        <v>40</v>
      </c>
      <c r="N42" s="36">
        <f t="shared" si="50"/>
        <v>800</v>
      </c>
      <c r="O42" s="25"/>
      <c r="P42" s="9"/>
      <c r="Q42" s="20">
        <f t="shared" si="3"/>
        <v>20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25"/>
      <c r="B43" s="25"/>
      <c r="C43" s="25"/>
      <c r="D43" s="25"/>
      <c r="E43" s="23"/>
      <c r="F43" s="24"/>
      <c r="G43" s="25"/>
      <c r="H43" s="25"/>
      <c r="I43" s="23"/>
      <c r="J43" s="25"/>
      <c r="K43" s="25"/>
      <c r="L43" s="25"/>
      <c r="M43" s="26">
        <f t="shared" ref="M43:N43" si="51">M42</f>
        <v>40</v>
      </c>
      <c r="N43" s="36">
        <f t="shared" si="51"/>
        <v>800</v>
      </c>
      <c r="O43" s="25"/>
      <c r="P43" s="9"/>
      <c r="Q43" s="20">
        <f t="shared" si="3"/>
        <v>20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25"/>
      <c r="B44" s="25"/>
      <c r="C44" s="25"/>
      <c r="D44" s="25"/>
      <c r="E44" s="23"/>
      <c r="F44" s="24"/>
      <c r="G44" s="25"/>
      <c r="H44" s="25"/>
      <c r="I44" s="23"/>
      <c r="J44" s="25"/>
      <c r="K44" s="25"/>
      <c r="L44" s="25"/>
      <c r="M44" s="26">
        <f t="shared" ref="M44:N44" si="52">M43</f>
        <v>40</v>
      </c>
      <c r="N44" s="36">
        <f t="shared" si="52"/>
        <v>800</v>
      </c>
      <c r="O44" s="25"/>
      <c r="P44" s="9"/>
      <c r="Q44" s="20">
        <f t="shared" si="3"/>
        <v>20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25"/>
      <c r="B45" s="25"/>
      <c r="C45" s="25"/>
      <c r="D45" s="25"/>
      <c r="E45" s="23"/>
      <c r="F45" s="24"/>
      <c r="G45" s="25"/>
      <c r="H45" s="25"/>
      <c r="I45" s="23"/>
      <c r="J45" s="25"/>
      <c r="K45" s="25"/>
      <c r="L45" s="25"/>
      <c r="M45" s="26">
        <f t="shared" ref="M45:N45" si="53">M44</f>
        <v>40</v>
      </c>
      <c r="N45" s="36">
        <f t="shared" si="53"/>
        <v>800</v>
      </c>
      <c r="O45" s="25"/>
      <c r="P45" s="9"/>
      <c r="Q45" s="20">
        <f t="shared" si="3"/>
        <v>20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25"/>
      <c r="B46" s="25"/>
      <c r="C46" s="25"/>
      <c r="D46" s="25"/>
      <c r="E46" s="23"/>
      <c r="F46" s="24"/>
      <c r="G46" s="25"/>
      <c r="H46" s="25"/>
      <c r="I46" s="23"/>
      <c r="J46" s="25"/>
      <c r="K46" s="25"/>
      <c r="L46" s="25"/>
      <c r="M46" s="26">
        <f t="shared" ref="M46:N46" si="54">M45</f>
        <v>40</v>
      </c>
      <c r="N46" s="36">
        <f t="shared" si="54"/>
        <v>800</v>
      </c>
      <c r="O46" s="25"/>
      <c r="P46" s="9"/>
      <c r="Q46" s="20">
        <f t="shared" si="3"/>
        <v>20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25"/>
      <c r="B47" s="25"/>
      <c r="C47" s="25"/>
      <c r="D47" s="25"/>
      <c r="E47" s="23"/>
      <c r="F47" s="24"/>
      <c r="G47" s="25"/>
      <c r="H47" s="25"/>
      <c r="I47" s="23"/>
      <c r="J47" s="25"/>
      <c r="K47" s="25"/>
      <c r="L47" s="25"/>
      <c r="M47" s="26">
        <f t="shared" ref="M47:N47" si="55">M46</f>
        <v>40</v>
      </c>
      <c r="N47" s="36">
        <f t="shared" si="55"/>
        <v>800</v>
      </c>
      <c r="O47" s="25"/>
      <c r="P47" s="9"/>
      <c r="Q47" s="20">
        <f t="shared" si="3"/>
        <v>20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5"/>
      <c r="B48" s="25"/>
      <c r="C48" s="25"/>
      <c r="D48" s="25"/>
      <c r="E48" s="23"/>
      <c r="F48" s="24"/>
      <c r="G48" s="25"/>
      <c r="H48" s="25"/>
      <c r="I48" s="23"/>
      <c r="J48" s="25"/>
      <c r="K48" s="25"/>
      <c r="L48" s="25"/>
      <c r="M48" s="26">
        <f t="shared" ref="M48:N48" si="56">M47</f>
        <v>40</v>
      </c>
      <c r="N48" s="36">
        <f t="shared" si="56"/>
        <v>800</v>
      </c>
      <c r="O48" s="25"/>
      <c r="P48" s="9"/>
      <c r="Q48" s="20">
        <f t="shared" si="3"/>
        <v>20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25"/>
      <c r="B49" s="25"/>
      <c r="C49" s="25"/>
      <c r="D49" s="25"/>
      <c r="E49" s="23"/>
      <c r="F49" s="24"/>
      <c r="G49" s="25"/>
      <c r="H49" s="25"/>
      <c r="I49" s="23"/>
      <c r="J49" s="25"/>
      <c r="K49" s="25"/>
      <c r="L49" s="25"/>
      <c r="M49" s="26">
        <f t="shared" ref="M49:N49" si="57">M48</f>
        <v>40</v>
      </c>
      <c r="N49" s="36">
        <f t="shared" si="57"/>
        <v>800</v>
      </c>
      <c r="O49" s="25"/>
      <c r="P49" s="9"/>
      <c r="Q49" s="20">
        <f t="shared" si="3"/>
        <v>20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25"/>
      <c r="B50" s="25"/>
      <c r="C50" s="25"/>
      <c r="D50" s="25"/>
      <c r="E50" s="23"/>
      <c r="F50" s="24"/>
      <c r="G50" s="25"/>
      <c r="H50" s="25"/>
      <c r="I50" s="23"/>
      <c r="J50" s="25"/>
      <c r="K50" s="25"/>
      <c r="L50" s="25"/>
      <c r="M50" s="26">
        <f t="shared" ref="M50:N50" si="58">M49</f>
        <v>40</v>
      </c>
      <c r="N50" s="36">
        <f t="shared" si="58"/>
        <v>800</v>
      </c>
      <c r="O50" s="25"/>
      <c r="P50" s="9"/>
      <c r="Q50" s="20">
        <f t="shared" si="3"/>
        <v>20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25"/>
      <c r="B51" s="25"/>
      <c r="C51" s="25"/>
      <c r="D51" s="25"/>
      <c r="E51" s="23"/>
      <c r="F51" s="24"/>
      <c r="G51" s="25"/>
      <c r="H51" s="25"/>
      <c r="I51" s="23"/>
      <c r="J51" s="25"/>
      <c r="K51" s="25"/>
      <c r="L51" s="25"/>
      <c r="M51" s="26">
        <f t="shared" ref="M51:N51" si="59">M50</f>
        <v>40</v>
      </c>
      <c r="N51" s="36">
        <f t="shared" si="59"/>
        <v>800</v>
      </c>
      <c r="O51" s="25"/>
      <c r="P51" s="9"/>
      <c r="Q51" s="20">
        <f t="shared" si="3"/>
        <v>20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25"/>
      <c r="B52" s="25"/>
      <c r="C52" s="25"/>
      <c r="D52" s="25"/>
      <c r="E52" s="23"/>
      <c r="F52" s="24"/>
      <c r="G52" s="25"/>
      <c r="H52" s="25"/>
      <c r="I52" s="23"/>
      <c r="J52" s="25"/>
      <c r="K52" s="25"/>
      <c r="L52" s="25"/>
      <c r="M52" s="26">
        <f t="shared" ref="M52:N52" si="60">M51</f>
        <v>40</v>
      </c>
      <c r="N52" s="36">
        <f t="shared" si="60"/>
        <v>800</v>
      </c>
      <c r="O52" s="25"/>
      <c r="P52" s="9"/>
      <c r="Q52" s="20">
        <f t="shared" si="3"/>
        <v>20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25"/>
      <c r="B53" s="25"/>
      <c r="C53" s="25"/>
      <c r="D53" s="25"/>
      <c r="E53" s="23"/>
      <c r="F53" s="24"/>
      <c r="G53" s="25"/>
      <c r="H53" s="25"/>
      <c r="I53" s="23"/>
      <c r="J53" s="25"/>
      <c r="K53" s="25"/>
      <c r="L53" s="25"/>
      <c r="M53" s="26">
        <f t="shared" ref="M53:N53" si="61">M52</f>
        <v>40</v>
      </c>
      <c r="N53" s="36">
        <f t="shared" si="61"/>
        <v>800</v>
      </c>
      <c r="O53" s="25"/>
      <c r="P53" s="9"/>
      <c r="Q53" s="20">
        <f t="shared" si="3"/>
        <v>20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25"/>
      <c r="B54" s="25"/>
      <c r="C54" s="25"/>
      <c r="D54" s="25"/>
      <c r="E54" s="23"/>
      <c r="F54" s="24"/>
      <c r="G54" s="25"/>
      <c r="H54" s="25"/>
      <c r="I54" s="23"/>
      <c r="J54" s="25"/>
      <c r="K54" s="25"/>
      <c r="L54" s="25"/>
      <c r="M54" s="26">
        <f t="shared" ref="M54:N54" si="62">M53</f>
        <v>40</v>
      </c>
      <c r="N54" s="36">
        <f t="shared" si="62"/>
        <v>800</v>
      </c>
      <c r="O54" s="25"/>
      <c r="P54" s="9"/>
      <c r="Q54" s="20">
        <f t="shared" si="3"/>
        <v>20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25"/>
      <c r="B55" s="25"/>
      <c r="C55" s="25"/>
      <c r="D55" s="25"/>
      <c r="E55" s="23"/>
      <c r="F55" s="24"/>
      <c r="G55" s="25"/>
      <c r="H55" s="25"/>
      <c r="I55" s="23"/>
      <c r="J55" s="25"/>
      <c r="K55" s="25"/>
      <c r="L55" s="25"/>
      <c r="M55" s="26">
        <f t="shared" ref="M55:N55" si="63">M54</f>
        <v>40</v>
      </c>
      <c r="N55" s="36">
        <f t="shared" si="63"/>
        <v>800</v>
      </c>
      <c r="O55" s="25"/>
      <c r="P55" s="9"/>
      <c r="Q55" s="20">
        <f t="shared" si="3"/>
        <v>20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25"/>
      <c r="B56" s="25"/>
      <c r="C56" s="25"/>
      <c r="D56" s="25"/>
      <c r="E56" s="23"/>
      <c r="F56" s="24"/>
      <c r="G56" s="25"/>
      <c r="H56" s="25"/>
      <c r="I56" s="23"/>
      <c r="J56" s="25"/>
      <c r="K56" s="25"/>
      <c r="L56" s="25"/>
      <c r="M56" s="26">
        <f t="shared" ref="M56:N56" si="64">M55</f>
        <v>40</v>
      </c>
      <c r="N56" s="36">
        <f t="shared" si="64"/>
        <v>800</v>
      </c>
      <c r="O56" s="25"/>
      <c r="P56" s="9"/>
      <c r="Q56" s="20">
        <f t="shared" si="3"/>
        <v>20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25"/>
      <c r="B57" s="25"/>
      <c r="C57" s="25"/>
      <c r="D57" s="25"/>
      <c r="E57" s="23"/>
      <c r="F57" s="24"/>
      <c r="G57" s="25"/>
      <c r="H57" s="25"/>
      <c r="I57" s="23"/>
      <c r="J57" s="25"/>
      <c r="K57" s="25"/>
      <c r="L57" s="25"/>
      <c r="M57" s="26">
        <f t="shared" ref="M57:N57" si="65">M56</f>
        <v>40</v>
      </c>
      <c r="N57" s="36">
        <f t="shared" si="65"/>
        <v>800</v>
      </c>
      <c r="O57" s="25"/>
      <c r="P57" s="9"/>
      <c r="Q57" s="20">
        <f t="shared" si="3"/>
        <v>20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25"/>
      <c r="B58" s="25"/>
      <c r="C58" s="25"/>
      <c r="D58" s="25"/>
      <c r="E58" s="23"/>
      <c r="F58" s="24"/>
      <c r="G58" s="25"/>
      <c r="H58" s="25"/>
      <c r="I58" s="23"/>
      <c r="J58" s="25"/>
      <c r="K58" s="25"/>
      <c r="L58" s="25"/>
      <c r="M58" s="26">
        <f t="shared" ref="M58:N58" si="66">M57</f>
        <v>40</v>
      </c>
      <c r="N58" s="36">
        <f t="shared" si="66"/>
        <v>800</v>
      </c>
      <c r="O58" s="25"/>
      <c r="P58" s="9"/>
      <c r="Q58" s="20">
        <f t="shared" si="3"/>
        <v>20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25"/>
      <c r="B59" s="25"/>
      <c r="C59" s="25"/>
      <c r="D59" s="25"/>
      <c r="E59" s="23"/>
      <c r="F59" s="24"/>
      <c r="G59" s="25"/>
      <c r="H59" s="25"/>
      <c r="I59" s="23"/>
      <c r="J59" s="25"/>
      <c r="K59" s="25"/>
      <c r="L59" s="25"/>
      <c r="M59" s="26">
        <f t="shared" ref="M59:N59" si="67">M58</f>
        <v>40</v>
      </c>
      <c r="N59" s="36">
        <f t="shared" si="67"/>
        <v>800</v>
      </c>
      <c r="O59" s="25"/>
      <c r="P59" s="9"/>
      <c r="Q59" s="20">
        <f t="shared" si="3"/>
        <v>20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25"/>
      <c r="B60" s="25"/>
      <c r="C60" s="25"/>
      <c r="D60" s="25"/>
      <c r="E60" s="23"/>
      <c r="F60" s="24"/>
      <c r="G60" s="25"/>
      <c r="H60" s="25"/>
      <c r="I60" s="23"/>
      <c r="J60" s="25"/>
      <c r="K60" s="25"/>
      <c r="L60" s="25"/>
      <c r="M60" s="26">
        <f t="shared" ref="M60:N60" si="68">M59</f>
        <v>40</v>
      </c>
      <c r="N60" s="36">
        <f t="shared" si="68"/>
        <v>800</v>
      </c>
      <c r="O60" s="25"/>
      <c r="P60" s="9"/>
      <c r="Q60" s="20">
        <f t="shared" si="3"/>
        <v>20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25"/>
      <c r="B61" s="25"/>
      <c r="C61" s="25"/>
      <c r="D61" s="25"/>
      <c r="E61" s="23"/>
      <c r="F61" s="24"/>
      <c r="G61" s="25"/>
      <c r="H61" s="25"/>
      <c r="I61" s="23"/>
      <c r="J61" s="25"/>
      <c r="K61" s="25"/>
      <c r="L61" s="25"/>
      <c r="M61" s="26">
        <f t="shared" ref="M61:N61" si="69">M60</f>
        <v>40</v>
      </c>
      <c r="N61" s="36">
        <f t="shared" si="69"/>
        <v>800</v>
      </c>
      <c r="O61" s="25"/>
      <c r="P61" s="9"/>
      <c r="Q61" s="20">
        <f t="shared" si="3"/>
        <v>20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25"/>
      <c r="B62" s="25"/>
      <c r="C62" s="25"/>
      <c r="D62" s="25"/>
      <c r="E62" s="23"/>
      <c r="F62" s="24"/>
      <c r="G62" s="25"/>
      <c r="H62" s="25"/>
      <c r="I62" s="23"/>
      <c r="J62" s="25"/>
      <c r="K62" s="25"/>
      <c r="L62" s="25"/>
      <c r="M62" s="26">
        <f t="shared" ref="M62:N62" si="70">M61</f>
        <v>40</v>
      </c>
      <c r="N62" s="36">
        <f t="shared" si="70"/>
        <v>800</v>
      </c>
      <c r="O62" s="25"/>
      <c r="P62" s="9"/>
      <c r="Q62" s="20">
        <f t="shared" si="3"/>
        <v>20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25"/>
      <c r="B63" s="25"/>
      <c r="C63" s="25"/>
      <c r="D63" s="25"/>
      <c r="E63" s="23"/>
      <c r="F63" s="24"/>
      <c r="G63" s="25"/>
      <c r="H63" s="25"/>
      <c r="I63" s="23"/>
      <c r="J63" s="25"/>
      <c r="K63" s="25"/>
      <c r="L63" s="25"/>
      <c r="M63" s="26">
        <f t="shared" ref="M63:N63" si="71">M62</f>
        <v>40</v>
      </c>
      <c r="N63" s="36">
        <f t="shared" si="71"/>
        <v>800</v>
      </c>
      <c r="O63" s="25"/>
      <c r="P63" s="9"/>
      <c r="Q63" s="20">
        <f t="shared" si="3"/>
        <v>20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25"/>
      <c r="B64" s="25"/>
      <c r="C64" s="25"/>
      <c r="D64" s="25"/>
      <c r="E64" s="23"/>
      <c r="F64" s="24"/>
      <c r="G64" s="25"/>
      <c r="H64" s="25"/>
      <c r="I64" s="23"/>
      <c r="J64" s="25"/>
      <c r="K64" s="25"/>
      <c r="L64" s="25"/>
      <c r="M64" s="26">
        <f t="shared" ref="M64:N64" si="72">M63</f>
        <v>40</v>
      </c>
      <c r="N64" s="36">
        <f t="shared" si="72"/>
        <v>800</v>
      </c>
      <c r="O64" s="25"/>
      <c r="P64" s="9"/>
      <c r="Q64" s="20">
        <f t="shared" si="3"/>
        <v>20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25"/>
      <c r="B65" s="25"/>
      <c r="C65" s="25"/>
      <c r="D65" s="25"/>
      <c r="E65" s="23"/>
      <c r="F65" s="24"/>
      <c r="G65" s="25"/>
      <c r="H65" s="25"/>
      <c r="I65" s="23"/>
      <c r="J65" s="25"/>
      <c r="K65" s="25"/>
      <c r="L65" s="25"/>
      <c r="M65" s="26">
        <f t="shared" ref="M65:N65" si="73">M64</f>
        <v>40</v>
      </c>
      <c r="N65" s="36">
        <f t="shared" si="73"/>
        <v>800</v>
      </c>
      <c r="O65" s="25"/>
      <c r="P65" s="9"/>
      <c r="Q65" s="20">
        <f t="shared" si="3"/>
        <v>20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25"/>
      <c r="B66" s="25"/>
      <c r="C66" s="25"/>
      <c r="D66" s="25"/>
      <c r="E66" s="23"/>
      <c r="F66" s="24"/>
      <c r="G66" s="25"/>
      <c r="H66" s="25"/>
      <c r="I66" s="23"/>
      <c r="J66" s="25"/>
      <c r="K66" s="25"/>
      <c r="L66" s="25"/>
      <c r="M66" s="26">
        <f t="shared" ref="M66:N66" si="74">M65</f>
        <v>40</v>
      </c>
      <c r="N66" s="36">
        <f t="shared" si="74"/>
        <v>800</v>
      </c>
      <c r="O66" s="25"/>
      <c r="P66" s="9"/>
      <c r="Q66" s="20">
        <f t="shared" si="3"/>
        <v>20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25"/>
      <c r="B67" s="25"/>
      <c r="C67" s="25"/>
      <c r="D67" s="25"/>
      <c r="E67" s="23"/>
      <c r="F67" s="24"/>
      <c r="G67" s="25"/>
      <c r="H67" s="25"/>
      <c r="I67" s="23"/>
      <c r="J67" s="25"/>
      <c r="K67" s="25"/>
      <c r="L67" s="25"/>
      <c r="M67" s="26">
        <f t="shared" ref="M67:N67" si="75">M66</f>
        <v>40</v>
      </c>
      <c r="N67" s="36">
        <f t="shared" si="75"/>
        <v>800</v>
      </c>
      <c r="O67" s="25"/>
      <c r="P67" s="9"/>
      <c r="Q67" s="20">
        <f t="shared" si="3"/>
        <v>20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25"/>
      <c r="B68" s="25"/>
      <c r="C68" s="25"/>
      <c r="D68" s="25"/>
      <c r="E68" s="23"/>
      <c r="F68" s="24"/>
      <c r="G68" s="25"/>
      <c r="H68" s="25"/>
      <c r="I68" s="23"/>
      <c r="J68" s="25"/>
      <c r="K68" s="25"/>
      <c r="L68" s="25"/>
      <c r="M68" s="26">
        <f t="shared" ref="M68:N68" si="76">M67</f>
        <v>40</v>
      </c>
      <c r="N68" s="36">
        <f t="shared" si="76"/>
        <v>800</v>
      </c>
      <c r="O68" s="25"/>
      <c r="P68" s="9"/>
      <c r="Q68" s="20">
        <f t="shared" si="3"/>
        <v>20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25"/>
      <c r="B69" s="25"/>
      <c r="C69" s="25"/>
      <c r="D69" s="25"/>
      <c r="E69" s="23"/>
      <c r="F69" s="24"/>
      <c r="G69" s="25"/>
      <c r="H69" s="25"/>
      <c r="I69" s="23"/>
      <c r="J69" s="25"/>
      <c r="K69" s="25"/>
      <c r="L69" s="25"/>
      <c r="M69" s="26">
        <f t="shared" ref="M69:N69" si="77">M68</f>
        <v>40</v>
      </c>
      <c r="N69" s="36">
        <f t="shared" si="77"/>
        <v>800</v>
      </c>
      <c r="O69" s="25"/>
      <c r="P69" s="9"/>
      <c r="Q69" s="20">
        <f t="shared" si="3"/>
        <v>20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25"/>
      <c r="B70" s="25"/>
      <c r="C70" s="25"/>
      <c r="D70" s="25"/>
      <c r="E70" s="23"/>
      <c r="F70" s="24"/>
      <c r="G70" s="25"/>
      <c r="H70" s="25"/>
      <c r="I70" s="23"/>
      <c r="J70" s="25"/>
      <c r="K70" s="25"/>
      <c r="L70" s="25"/>
      <c r="M70" s="26">
        <f t="shared" ref="M70:N70" si="78">M69</f>
        <v>40</v>
      </c>
      <c r="N70" s="36">
        <f t="shared" si="78"/>
        <v>800</v>
      </c>
      <c r="O70" s="25"/>
      <c r="P70" s="9"/>
      <c r="Q70" s="20">
        <f t="shared" si="3"/>
        <v>20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25"/>
      <c r="B71" s="25"/>
      <c r="C71" s="25"/>
      <c r="D71" s="25"/>
      <c r="E71" s="23"/>
      <c r="F71" s="24"/>
      <c r="G71" s="25"/>
      <c r="H71" s="25"/>
      <c r="I71" s="23"/>
      <c r="J71" s="25"/>
      <c r="K71" s="25"/>
      <c r="L71" s="25"/>
      <c r="M71" s="26">
        <f t="shared" ref="M71:N71" si="79">M70</f>
        <v>40</v>
      </c>
      <c r="N71" s="36">
        <f t="shared" si="79"/>
        <v>800</v>
      </c>
      <c r="O71" s="25"/>
      <c r="P71" s="9"/>
      <c r="Q71" s="20">
        <f t="shared" si="3"/>
        <v>20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25"/>
      <c r="B72" s="25"/>
      <c r="C72" s="25"/>
      <c r="D72" s="25"/>
      <c r="E72" s="23"/>
      <c r="F72" s="24"/>
      <c r="G72" s="25"/>
      <c r="H72" s="25"/>
      <c r="I72" s="23"/>
      <c r="J72" s="25"/>
      <c r="K72" s="25"/>
      <c r="L72" s="25"/>
      <c r="M72" s="26">
        <f t="shared" ref="M72:N72" si="80">M71</f>
        <v>40</v>
      </c>
      <c r="N72" s="36">
        <f t="shared" si="80"/>
        <v>800</v>
      </c>
      <c r="O72" s="25"/>
      <c r="P72" s="9"/>
      <c r="Q72" s="20">
        <f t="shared" si="3"/>
        <v>20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25"/>
      <c r="B73" s="25"/>
      <c r="C73" s="25"/>
      <c r="D73" s="25"/>
      <c r="E73" s="23"/>
      <c r="F73" s="24"/>
      <c r="G73" s="25"/>
      <c r="H73" s="25"/>
      <c r="I73" s="23"/>
      <c r="J73" s="25"/>
      <c r="K73" s="25"/>
      <c r="L73" s="25"/>
      <c r="M73" s="26">
        <f t="shared" ref="M73:N73" si="81">M72</f>
        <v>40</v>
      </c>
      <c r="N73" s="36">
        <f t="shared" si="81"/>
        <v>800</v>
      </c>
      <c r="O73" s="25"/>
      <c r="P73" s="9"/>
      <c r="Q73" s="20">
        <f t="shared" si="3"/>
        <v>20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25"/>
      <c r="B74" s="25"/>
      <c r="C74" s="25"/>
      <c r="D74" s="25"/>
      <c r="E74" s="23"/>
      <c r="F74" s="24"/>
      <c r="G74" s="25"/>
      <c r="H74" s="25"/>
      <c r="I74" s="23"/>
      <c r="J74" s="25"/>
      <c r="K74" s="25"/>
      <c r="L74" s="25"/>
      <c r="M74" s="26">
        <f t="shared" ref="M74:N74" si="82">M73</f>
        <v>40</v>
      </c>
      <c r="N74" s="36">
        <f t="shared" si="82"/>
        <v>800</v>
      </c>
      <c r="O74" s="25"/>
      <c r="P74" s="9"/>
      <c r="Q74" s="20">
        <f t="shared" si="3"/>
        <v>20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25"/>
      <c r="B75" s="25"/>
      <c r="C75" s="25"/>
      <c r="D75" s="25"/>
      <c r="E75" s="23"/>
      <c r="F75" s="24"/>
      <c r="G75" s="25"/>
      <c r="H75" s="25"/>
      <c r="I75" s="23"/>
      <c r="J75" s="25"/>
      <c r="K75" s="25"/>
      <c r="L75" s="25"/>
      <c r="M75" s="26">
        <f t="shared" ref="M75:N75" si="83">M74</f>
        <v>40</v>
      </c>
      <c r="N75" s="36">
        <f t="shared" si="83"/>
        <v>800</v>
      </c>
      <c r="O75" s="25"/>
      <c r="P75" s="9"/>
      <c r="Q75" s="20">
        <f t="shared" si="3"/>
        <v>20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25"/>
      <c r="B76" s="25"/>
      <c r="C76" s="25"/>
      <c r="D76" s="25"/>
      <c r="E76" s="23"/>
      <c r="F76" s="24"/>
      <c r="G76" s="25"/>
      <c r="H76" s="25"/>
      <c r="I76" s="23"/>
      <c r="J76" s="25"/>
      <c r="K76" s="25"/>
      <c r="L76" s="25"/>
      <c r="M76" s="26">
        <f t="shared" ref="M76:N76" si="84">M75</f>
        <v>40</v>
      </c>
      <c r="N76" s="36">
        <f t="shared" si="84"/>
        <v>800</v>
      </c>
      <c r="O76" s="25"/>
      <c r="P76" s="9"/>
      <c r="Q76" s="20">
        <f t="shared" si="3"/>
        <v>20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25"/>
      <c r="B77" s="25"/>
      <c r="C77" s="25"/>
      <c r="D77" s="25"/>
      <c r="E77" s="23"/>
      <c r="F77" s="24"/>
      <c r="G77" s="25"/>
      <c r="H77" s="25"/>
      <c r="I77" s="23"/>
      <c r="J77" s="25"/>
      <c r="K77" s="25"/>
      <c r="L77" s="25"/>
      <c r="M77" s="26">
        <f t="shared" ref="M77:N77" si="85">M76</f>
        <v>40</v>
      </c>
      <c r="N77" s="36">
        <f t="shared" si="85"/>
        <v>800</v>
      </c>
      <c r="O77" s="25"/>
      <c r="P77" s="9"/>
      <c r="Q77" s="20">
        <f t="shared" si="3"/>
        <v>20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25"/>
      <c r="B78" s="25"/>
      <c r="C78" s="25"/>
      <c r="D78" s="25"/>
      <c r="E78" s="23"/>
      <c r="F78" s="24"/>
      <c r="G78" s="25"/>
      <c r="H78" s="25"/>
      <c r="I78" s="23"/>
      <c r="J78" s="25"/>
      <c r="K78" s="25"/>
      <c r="L78" s="25"/>
      <c r="M78" s="26">
        <f t="shared" ref="M78:N78" si="86">M77</f>
        <v>40</v>
      </c>
      <c r="N78" s="36">
        <f t="shared" si="86"/>
        <v>800</v>
      </c>
      <c r="O78" s="25"/>
      <c r="P78" s="9"/>
      <c r="Q78" s="20">
        <f t="shared" si="3"/>
        <v>20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25"/>
      <c r="B79" s="25"/>
      <c r="C79" s="25"/>
      <c r="D79" s="25"/>
      <c r="E79" s="23"/>
      <c r="F79" s="24"/>
      <c r="G79" s="25"/>
      <c r="H79" s="25"/>
      <c r="I79" s="23"/>
      <c r="J79" s="25"/>
      <c r="K79" s="25"/>
      <c r="L79" s="25"/>
      <c r="M79" s="26">
        <f t="shared" ref="M79:N79" si="87">M78</f>
        <v>40</v>
      </c>
      <c r="N79" s="36">
        <f t="shared" si="87"/>
        <v>800</v>
      </c>
      <c r="O79" s="25"/>
      <c r="P79" s="9"/>
      <c r="Q79" s="20">
        <f t="shared" si="3"/>
        <v>20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25"/>
      <c r="B80" s="25"/>
      <c r="C80" s="25"/>
      <c r="D80" s="25"/>
      <c r="E80" s="23"/>
      <c r="F80" s="24"/>
      <c r="G80" s="25"/>
      <c r="H80" s="25"/>
      <c r="I80" s="23"/>
      <c r="J80" s="25"/>
      <c r="K80" s="25"/>
      <c r="L80" s="25"/>
      <c r="M80" s="26">
        <f t="shared" ref="M80:N80" si="88">M79</f>
        <v>40</v>
      </c>
      <c r="N80" s="36">
        <f t="shared" si="88"/>
        <v>800</v>
      </c>
      <c r="O80" s="25"/>
      <c r="P80" s="9"/>
      <c r="Q80" s="20">
        <f t="shared" si="3"/>
        <v>20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25"/>
      <c r="B81" s="25"/>
      <c r="C81" s="25"/>
      <c r="D81" s="25"/>
      <c r="E81" s="23"/>
      <c r="F81" s="24"/>
      <c r="G81" s="25"/>
      <c r="H81" s="25"/>
      <c r="I81" s="23"/>
      <c r="J81" s="25"/>
      <c r="K81" s="25"/>
      <c r="L81" s="25"/>
      <c r="M81" s="26">
        <f t="shared" ref="M81:N81" si="89">M80</f>
        <v>40</v>
      </c>
      <c r="N81" s="36">
        <f t="shared" si="89"/>
        <v>800</v>
      </c>
      <c r="O81" s="25"/>
      <c r="P81" s="9"/>
      <c r="Q81" s="20">
        <f t="shared" si="3"/>
        <v>20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25"/>
      <c r="B82" s="25"/>
      <c r="C82" s="25"/>
      <c r="D82" s="25"/>
      <c r="E82" s="23"/>
      <c r="F82" s="24"/>
      <c r="G82" s="25"/>
      <c r="H82" s="25"/>
      <c r="I82" s="23"/>
      <c r="J82" s="25"/>
      <c r="K82" s="25"/>
      <c r="L82" s="25"/>
      <c r="M82" s="26">
        <f t="shared" ref="M82:N82" si="90">M81</f>
        <v>40</v>
      </c>
      <c r="N82" s="36">
        <f t="shared" si="90"/>
        <v>800</v>
      </c>
      <c r="O82" s="25"/>
      <c r="P82" s="9"/>
      <c r="Q82" s="20">
        <f t="shared" si="3"/>
        <v>20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25"/>
      <c r="B83" s="25"/>
      <c r="C83" s="25"/>
      <c r="D83" s="25"/>
      <c r="E83" s="23"/>
      <c r="F83" s="24"/>
      <c r="G83" s="25"/>
      <c r="H83" s="25"/>
      <c r="I83" s="23"/>
      <c r="J83" s="25"/>
      <c r="K83" s="25"/>
      <c r="L83" s="25"/>
      <c r="M83" s="26">
        <f t="shared" ref="M83:N83" si="91">M82</f>
        <v>40</v>
      </c>
      <c r="N83" s="36">
        <f t="shared" si="91"/>
        <v>800</v>
      </c>
      <c r="O83" s="25"/>
      <c r="P83" s="9"/>
      <c r="Q83" s="20">
        <f t="shared" si="3"/>
        <v>20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25"/>
      <c r="B84" s="25"/>
      <c r="C84" s="25"/>
      <c r="D84" s="25"/>
      <c r="E84" s="23"/>
      <c r="F84" s="24"/>
      <c r="G84" s="25"/>
      <c r="H84" s="25"/>
      <c r="I84" s="23"/>
      <c r="J84" s="25"/>
      <c r="K84" s="25"/>
      <c r="L84" s="25"/>
      <c r="M84" s="26">
        <f t="shared" ref="M84:N84" si="92">M83</f>
        <v>40</v>
      </c>
      <c r="N84" s="36">
        <f t="shared" si="92"/>
        <v>800</v>
      </c>
      <c r="O84" s="25"/>
      <c r="P84" s="9"/>
      <c r="Q84" s="20">
        <f t="shared" si="3"/>
        <v>20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25"/>
      <c r="B85" s="25"/>
      <c r="C85" s="25"/>
      <c r="D85" s="25"/>
      <c r="E85" s="23"/>
      <c r="F85" s="24"/>
      <c r="G85" s="25"/>
      <c r="H85" s="25"/>
      <c r="I85" s="23"/>
      <c r="J85" s="25"/>
      <c r="K85" s="25"/>
      <c r="L85" s="25"/>
      <c r="M85" s="26">
        <f t="shared" ref="M85:N85" si="93">M84</f>
        <v>40</v>
      </c>
      <c r="N85" s="36">
        <f t="shared" si="93"/>
        <v>800</v>
      </c>
      <c r="O85" s="25"/>
      <c r="P85" s="9"/>
      <c r="Q85" s="20">
        <f t="shared" si="3"/>
        <v>20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25"/>
      <c r="B86" s="25"/>
      <c r="C86" s="25"/>
      <c r="D86" s="25"/>
      <c r="E86" s="23"/>
      <c r="F86" s="24"/>
      <c r="G86" s="25"/>
      <c r="H86" s="25"/>
      <c r="I86" s="23"/>
      <c r="J86" s="25"/>
      <c r="K86" s="25"/>
      <c r="L86" s="25"/>
      <c r="M86" s="26">
        <f t="shared" ref="M86:N86" si="94">M85</f>
        <v>40</v>
      </c>
      <c r="N86" s="36">
        <f t="shared" si="94"/>
        <v>800</v>
      </c>
      <c r="O86" s="25"/>
      <c r="P86" s="9"/>
      <c r="Q86" s="20">
        <f t="shared" si="3"/>
        <v>20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25"/>
      <c r="B87" s="25"/>
      <c r="C87" s="25"/>
      <c r="D87" s="25"/>
      <c r="E87" s="23"/>
      <c r="F87" s="24"/>
      <c r="G87" s="25"/>
      <c r="H87" s="25"/>
      <c r="I87" s="23"/>
      <c r="J87" s="25"/>
      <c r="K87" s="25"/>
      <c r="L87" s="25"/>
      <c r="M87" s="26">
        <f t="shared" ref="M87:N87" si="95">M86</f>
        <v>40</v>
      </c>
      <c r="N87" s="36">
        <f t="shared" si="95"/>
        <v>800</v>
      </c>
      <c r="O87" s="25"/>
      <c r="P87" s="9"/>
      <c r="Q87" s="20">
        <f t="shared" si="3"/>
        <v>20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25"/>
      <c r="B88" s="25"/>
      <c r="C88" s="25"/>
      <c r="D88" s="25"/>
      <c r="E88" s="23"/>
      <c r="F88" s="24"/>
      <c r="G88" s="25"/>
      <c r="H88" s="25"/>
      <c r="I88" s="23"/>
      <c r="J88" s="25"/>
      <c r="K88" s="25"/>
      <c r="L88" s="25"/>
      <c r="M88" s="26">
        <f t="shared" ref="M88:N88" si="96">M87</f>
        <v>40</v>
      </c>
      <c r="N88" s="36">
        <f t="shared" si="96"/>
        <v>800</v>
      </c>
      <c r="O88" s="25"/>
      <c r="P88" s="9"/>
      <c r="Q88" s="20">
        <f t="shared" si="3"/>
        <v>20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25"/>
      <c r="B89" s="25"/>
      <c r="C89" s="25"/>
      <c r="D89" s="25"/>
      <c r="E89" s="23"/>
      <c r="F89" s="24"/>
      <c r="G89" s="25"/>
      <c r="H89" s="25"/>
      <c r="I89" s="23"/>
      <c r="J89" s="25"/>
      <c r="K89" s="25"/>
      <c r="L89" s="25"/>
      <c r="M89" s="26">
        <f t="shared" ref="M89:N89" si="97">M88</f>
        <v>40</v>
      </c>
      <c r="N89" s="36">
        <f t="shared" si="97"/>
        <v>800</v>
      </c>
      <c r="O89" s="25"/>
      <c r="P89" s="9"/>
      <c r="Q89" s="20">
        <f t="shared" si="3"/>
        <v>20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25"/>
      <c r="B90" s="25"/>
      <c r="C90" s="25"/>
      <c r="D90" s="25"/>
      <c r="E90" s="23"/>
      <c r="F90" s="24"/>
      <c r="G90" s="25"/>
      <c r="H90" s="25"/>
      <c r="I90" s="23"/>
      <c r="J90" s="25"/>
      <c r="K90" s="25"/>
      <c r="L90" s="25"/>
      <c r="M90" s="26">
        <f t="shared" ref="M90:N90" si="98">M89</f>
        <v>40</v>
      </c>
      <c r="N90" s="36">
        <f t="shared" si="98"/>
        <v>800</v>
      </c>
      <c r="O90" s="25"/>
      <c r="P90" s="9"/>
      <c r="Q90" s="20">
        <f t="shared" si="3"/>
        <v>20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25"/>
      <c r="B91" s="25"/>
      <c r="C91" s="25"/>
      <c r="D91" s="25"/>
      <c r="E91" s="23"/>
      <c r="F91" s="24"/>
      <c r="G91" s="25"/>
      <c r="H91" s="25"/>
      <c r="I91" s="23"/>
      <c r="J91" s="25"/>
      <c r="K91" s="25"/>
      <c r="L91" s="25"/>
      <c r="M91" s="26">
        <f t="shared" ref="M91:N91" si="99">M90</f>
        <v>40</v>
      </c>
      <c r="N91" s="36">
        <f t="shared" si="99"/>
        <v>800</v>
      </c>
      <c r="O91" s="25"/>
      <c r="P91" s="9"/>
      <c r="Q91" s="20">
        <f t="shared" si="3"/>
        <v>20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25"/>
      <c r="B92" s="25"/>
      <c r="C92" s="25"/>
      <c r="D92" s="25"/>
      <c r="E92" s="23"/>
      <c r="F92" s="24"/>
      <c r="G92" s="25"/>
      <c r="H92" s="25"/>
      <c r="I92" s="23"/>
      <c r="J92" s="25"/>
      <c r="K92" s="25"/>
      <c r="L92" s="25"/>
      <c r="M92" s="26">
        <f t="shared" ref="M92:N92" si="100">M91</f>
        <v>40</v>
      </c>
      <c r="N92" s="36">
        <f t="shared" si="100"/>
        <v>800</v>
      </c>
      <c r="O92" s="25"/>
      <c r="P92" s="9"/>
      <c r="Q92" s="20">
        <f t="shared" si="3"/>
        <v>20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25"/>
      <c r="B93" s="25"/>
      <c r="C93" s="25"/>
      <c r="D93" s="25"/>
      <c r="E93" s="23"/>
      <c r="F93" s="24"/>
      <c r="G93" s="25"/>
      <c r="H93" s="25"/>
      <c r="I93" s="23"/>
      <c r="J93" s="25"/>
      <c r="K93" s="25"/>
      <c r="L93" s="25"/>
      <c r="M93" s="26">
        <f t="shared" ref="M93:N93" si="101">M92</f>
        <v>40</v>
      </c>
      <c r="N93" s="36">
        <f t="shared" si="101"/>
        <v>800</v>
      </c>
      <c r="O93" s="25"/>
      <c r="P93" s="9"/>
      <c r="Q93" s="20">
        <f t="shared" si="3"/>
        <v>20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25"/>
      <c r="B94" s="25"/>
      <c r="C94" s="25"/>
      <c r="D94" s="25"/>
      <c r="E94" s="23"/>
      <c r="F94" s="24"/>
      <c r="G94" s="25"/>
      <c r="H94" s="25"/>
      <c r="I94" s="23"/>
      <c r="J94" s="25"/>
      <c r="K94" s="25"/>
      <c r="L94" s="25"/>
      <c r="M94" s="26">
        <f t="shared" ref="M94:N94" si="102">M93</f>
        <v>40</v>
      </c>
      <c r="N94" s="36">
        <f t="shared" si="102"/>
        <v>800</v>
      </c>
      <c r="O94" s="25"/>
      <c r="P94" s="9"/>
      <c r="Q94" s="20">
        <f t="shared" si="3"/>
        <v>20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25"/>
      <c r="B95" s="25"/>
      <c r="C95" s="25"/>
      <c r="D95" s="25"/>
      <c r="E95" s="23"/>
      <c r="F95" s="24"/>
      <c r="G95" s="25"/>
      <c r="H95" s="25"/>
      <c r="I95" s="23"/>
      <c r="J95" s="25"/>
      <c r="K95" s="25"/>
      <c r="L95" s="25"/>
      <c r="M95" s="26">
        <f t="shared" ref="M95:N95" si="103">M94</f>
        <v>40</v>
      </c>
      <c r="N95" s="36">
        <f t="shared" si="103"/>
        <v>800</v>
      </c>
      <c r="O95" s="25"/>
      <c r="P95" s="9"/>
      <c r="Q95" s="20">
        <f t="shared" si="3"/>
        <v>20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25"/>
      <c r="B96" s="25"/>
      <c r="C96" s="25"/>
      <c r="D96" s="25"/>
      <c r="E96" s="23"/>
      <c r="F96" s="24"/>
      <c r="G96" s="25"/>
      <c r="H96" s="25"/>
      <c r="I96" s="23"/>
      <c r="J96" s="25"/>
      <c r="K96" s="25"/>
      <c r="L96" s="25"/>
      <c r="M96" s="26">
        <f t="shared" ref="M96:N96" si="104">M95</f>
        <v>40</v>
      </c>
      <c r="N96" s="36">
        <f t="shared" si="104"/>
        <v>800</v>
      </c>
      <c r="O96" s="25"/>
      <c r="P96" s="9"/>
      <c r="Q96" s="20">
        <f t="shared" si="3"/>
        <v>20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25"/>
      <c r="B97" s="25"/>
      <c r="C97" s="25"/>
      <c r="D97" s="25"/>
      <c r="E97" s="23"/>
      <c r="F97" s="24"/>
      <c r="G97" s="25"/>
      <c r="H97" s="25"/>
      <c r="I97" s="23"/>
      <c r="J97" s="25"/>
      <c r="K97" s="25"/>
      <c r="L97" s="25"/>
      <c r="M97" s="26">
        <f t="shared" ref="M97:N97" si="105">M96</f>
        <v>40</v>
      </c>
      <c r="N97" s="36">
        <f t="shared" si="105"/>
        <v>800</v>
      </c>
      <c r="O97" s="25"/>
      <c r="P97" s="9"/>
      <c r="Q97" s="20">
        <f t="shared" si="3"/>
        <v>20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25"/>
      <c r="B98" s="25"/>
      <c r="C98" s="25"/>
      <c r="D98" s="25"/>
      <c r="E98" s="23"/>
      <c r="F98" s="24"/>
      <c r="G98" s="25"/>
      <c r="H98" s="25"/>
      <c r="I98" s="23"/>
      <c r="J98" s="25"/>
      <c r="K98" s="25"/>
      <c r="L98" s="25"/>
      <c r="M98" s="26">
        <f t="shared" ref="M98:N98" si="106">M97</f>
        <v>40</v>
      </c>
      <c r="N98" s="36">
        <f t="shared" si="106"/>
        <v>800</v>
      </c>
      <c r="O98" s="25"/>
      <c r="P98" s="9"/>
      <c r="Q98" s="20">
        <f t="shared" si="3"/>
        <v>20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25"/>
      <c r="B99" s="25"/>
      <c r="C99" s="25"/>
      <c r="D99" s="25"/>
      <c r="E99" s="23"/>
      <c r="F99" s="24"/>
      <c r="G99" s="25"/>
      <c r="H99" s="25"/>
      <c r="I99" s="23"/>
      <c r="J99" s="25"/>
      <c r="K99" s="25"/>
      <c r="L99" s="25"/>
      <c r="M99" s="26">
        <f t="shared" ref="M99:N99" si="107">M98</f>
        <v>40</v>
      </c>
      <c r="N99" s="36">
        <f t="shared" si="107"/>
        <v>800</v>
      </c>
      <c r="O99" s="25"/>
      <c r="P99" s="9"/>
      <c r="Q99" s="20">
        <f t="shared" si="3"/>
        <v>20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25"/>
      <c r="B100" s="25"/>
      <c r="C100" s="25"/>
      <c r="D100" s="25"/>
      <c r="E100" s="23"/>
      <c r="F100" s="24"/>
      <c r="G100" s="25"/>
      <c r="H100" s="25"/>
      <c r="I100" s="23"/>
      <c r="J100" s="25"/>
      <c r="K100" s="25"/>
      <c r="L100" s="25"/>
      <c r="M100" s="26">
        <f t="shared" ref="M100:N100" si="108">M99</f>
        <v>40</v>
      </c>
      <c r="N100" s="36">
        <f t="shared" si="108"/>
        <v>800</v>
      </c>
      <c r="O100" s="25"/>
      <c r="P100" s="9"/>
      <c r="Q100" s="20">
        <f t="shared" si="3"/>
        <v>20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25"/>
      <c r="B101" s="25"/>
      <c r="C101" s="25"/>
      <c r="D101" s="25"/>
      <c r="E101" s="23"/>
      <c r="F101" s="24"/>
      <c r="G101" s="25"/>
      <c r="H101" s="25"/>
      <c r="I101" s="23"/>
      <c r="J101" s="25"/>
      <c r="K101" s="25"/>
      <c r="L101" s="25"/>
      <c r="M101" s="26">
        <f t="shared" ref="M101:N101" si="109">M100</f>
        <v>40</v>
      </c>
      <c r="N101" s="36">
        <f t="shared" si="109"/>
        <v>800</v>
      </c>
      <c r="O101" s="25"/>
      <c r="P101" s="9"/>
      <c r="Q101" s="20">
        <f t="shared" si="3"/>
        <v>20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25"/>
      <c r="B102" s="25"/>
      <c r="C102" s="25"/>
      <c r="D102" s="25"/>
      <c r="E102" s="23"/>
      <c r="F102" s="24"/>
      <c r="G102" s="25"/>
      <c r="H102" s="25"/>
      <c r="I102" s="23"/>
      <c r="J102" s="25"/>
      <c r="K102" s="25"/>
      <c r="L102" s="25"/>
      <c r="M102" s="26">
        <f t="shared" ref="M102:N102" si="110">M101</f>
        <v>40</v>
      </c>
      <c r="N102" s="36">
        <f t="shared" si="110"/>
        <v>800</v>
      </c>
      <c r="O102" s="25"/>
      <c r="P102" s="9"/>
      <c r="Q102" s="20">
        <f t="shared" si="3"/>
        <v>20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25"/>
      <c r="B103" s="25"/>
      <c r="C103" s="25"/>
      <c r="D103" s="25"/>
      <c r="E103" s="23"/>
      <c r="F103" s="24"/>
      <c r="G103" s="25"/>
      <c r="H103" s="25"/>
      <c r="I103" s="23"/>
      <c r="J103" s="25"/>
      <c r="K103" s="25"/>
      <c r="L103" s="25"/>
      <c r="M103" s="26">
        <f t="shared" ref="M103:N103" si="111">M102</f>
        <v>40</v>
      </c>
      <c r="N103" s="36">
        <f t="shared" si="111"/>
        <v>800</v>
      </c>
      <c r="O103" s="25"/>
      <c r="P103" s="9"/>
      <c r="Q103" s="20">
        <f t="shared" si="3"/>
        <v>20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25"/>
      <c r="B104" s="25"/>
      <c r="C104" s="25"/>
      <c r="D104" s="25"/>
      <c r="E104" s="23"/>
      <c r="F104" s="24"/>
      <c r="G104" s="25"/>
      <c r="H104" s="25"/>
      <c r="I104" s="23"/>
      <c r="J104" s="25"/>
      <c r="K104" s="25"/>
      <c r="L104" s="25"/>
      <c r="M104" s="26">
        <f t="shared" ref="M104:N104" si="112">M103</f>
        <v>40</v>
      </c>
      <c r="N104" s="36">
        <f t="shared" si="112"/>
        <v>800</v>
      </c>
      <c r="O104" s="25"/>
      <c r="P104" s="9"/>
      <c r="Q104" s="20">
        <f t="shared" si="3"/>
        <v>20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25"/>
      <c r="B105" s="25"/>
      <c r="C105" s="25"/>
      <c r="D105" s="25"/>
      <c r="E105" s="23"/>
      <c r="F105" s="24"/>
      <c r="G105" s="25"/>
      <c r="H105" s="25"/>
      <c r="I105" s="23"/>
      <c r="J105" s="25"/>
      <c r="K105" s="25"/>
      <c r="L105" s="25"/>
      <c r="M105" s="26">
        <f t="shared" ref="M105:N105" si="113">M104</f>
        <v>40</v>
      </c>
      <c r="N105" s="36">
        <f t="shared" si="113"/>
        <v>800</v>
      </c>
      <c r="O105" s="25"/>
      <c r="P105" s="9"/>
      <c r="Q105" s="20">
        <f t="shared" si="3"/>
        <v>20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25"/>
      <c r="B106" s="25"/>
      <c r="C106" s="25"/>
      <c r="D106" s="25"/>
      <c r="E106" s="23"/>
      <c r="F106" s="24"/>
      <c r="G106" s="25"/>
      <c r="H106" s="25"/>
      <c r="I106" s="23"/>
      <c r="J106" s="25"/>
      <c r="K106" s="25"/>
      <c r="L106" s="25"/>
      <c r="M106" s="26">
        <f t="shared" ref="M106:N106" si="114">M105</f>
        <v>40</v>
      </c>
      <c r="N106" s="36">
        <f t="shared" si="114"/>
        <v>800</v>
      </c>
      <c r="O106" s="25"/>
      <c r="P106" s="9"/>
      <c r="Q106" s="20">
        <f t="shared" si="3"/>
        <v>20</v>
      </c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25"/>
      <c r="B107" s="25"/>
      <c r="C107" s="25"/>
      <c r="D107" s="25"/>
      <c r="E107" s="23"/>
      <c r="F107" s="24"/>
      <c r="G107" s="25"/>
      <c r="H107" s="25"/>
      <c r="I107" s="23"/>
      <c r="J107" s="25"/>
      <c r="K107" s="25"/>
      <c r="L107" s="25"/>
      <c r="M107" s="26">
        <f t="shared" ref="M107:N107" si="115">M106</f>
        <v>40</v>
      </c>
      <c r="N107" s="36">
        <f t="shared" si="115"/>
        <v>800</v>
      </c>
      <c r="O107" s="25"/>
      <c r="P107" s="9"/>
      <c r="Q107" s="20">
        <f t="shared" si="3"/>
        <v>20</v>
      </c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25"/>
      <c r="B108" s="25"/>
      <c r="C108" s="25"/>
      <c r="D108" s="25"/>
      <c r="E108" s="23"/>
      <c r="F108" s="24"/>
      <c r="G108" s="25"/>
      <c r="H108" s="25"/>
      <c r="I108" s="23"/>
      <c r="J108" s="25"/>
      <c r="K108" s="25"/>
      <c r="L108" s="25"/>
      <c r="M108" s="26">
        <f t="shared" ref="M108:N108" si="116">M107</f>
        <v>40</v>
      </c>
      <c r="N108" s="36">
        <f t="shared" si="116"/>
        <v>800</v>
      </c>
      <c r="O108" s="25"/>
      <c r="P108" s="9"/>
      <c r="Q108" s="20">
        <f t="shared" si="3"/>
        <v>20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25"/>
      <c r="B109" s="25"/>
      <c r="C109" s="25"/>
      <c r="D109" s="25"/>
      <c r="E109" s="23"/>
      <c r="F109" s="24"/>
      <c r="G109" s="25"/>
      <c r="H109" s="25"/>
      <c r="I109" s="23"/>
      <c r="J109" s="25"/>
      <c r="K109" s="25"/>
      <c r="L109" s="25"/>
      <c r="M109" s="26">
        <f t="shared" ref="M109:N109" si="117">M108</f>
        <v>40</v>
      </c>
      <c r="N109" s="36">
        <f t="shared" si="117"/>
        <v>800</v>
      </c>
      <c r="O109" s="25"/>
      <c r="P109" s="9"/>
      <c r="Q109" s="20">
        <f t="shared" si="3"/>
        <v>20</v>
      </c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25"/>
      <c r="B110" s="25"/>
      <c r="C110" s="25"/>
      <c r="D110" s="25"/>
      <c r="E110" s="23"/>
      <c r="F110" s="24"/>
      <c r="G110" s="25"/>
      <c r="H110" s="25"/>
      <c r="I110" s="23"/>
      <c r="J110" s="25"/>
      <c r="K110" s="25"/>
      <c r="L110" s="25"/>
      <c r="M110" s="26">
        <f t="shared" ref="M110:N110" si="118">M109</f>
        <v>40</v>
      </c>
      <c r="N110" s="36">
        <f t="shared" si="118"/>
        <v>800</v>
      </c>
      <c r="O110" s="25"/>
      <c r="P110" s="9"/>
      <c r="Q110" s="20">
        <f t="shared" si="3"/>
        <v>20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25"/>
      <c r="B111" s="25"/>
      <c r="C111" s="25"/>
      <c r="D111" s="25"/>
      <c r="E111" s="23"/>
      <c r="F111" s="24"/>
      <c r="G111" s="25"/>
      <c r="H111" s="25"/>
      <c r="I111" s="23"/>
      <c r="J111" s="25"/>
      <c r="K111" s="25"/>
      <c r="L111" s="25"/>
      <c r="M111" s="26">
        <f t="shared" ref="M111:N111" si="119">M110</f>
        <v>40</v>
      </c>
      <c r="N111" s="36">
        <f t="shared" si="119"/>
        <v>800</v>
      </c>
      <c r="O111" s="25"/>
      <c r="P111" s="9"/>
      <c r="Q111" s="20">
        <f t="shared" si="3"/>
        <v>20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25"/>
      <c r="B112" s="25"/>
      <c r="C112" s="25"/>
      <c r="D112" s="25"/>
      <c r="E112" s="23"/>
      <c r="F112" s="24"/>
      <c r="G112" s="25"/>
      <c r="H112" s="25"/>
      <c r="I112" s="23"/>
      <c r="J112" s="25"/>
      <c r="K112" s="25"/>
      <c r="L112" s="25"/>
      <c r="M112" s="26">
        <f t="shared" ref="M112:N112" si="120">M111</f>
        <v>40</v>
      </c>
      <c r="N112" s="36">
        <f t="shared" si="120"/>
        <v>800</v>
      </c>
      <c r="O112" s="25"/>
      <c r="P112" s="9"/>
      <c r="Q112" s="20">
        <f t="shared" si="3"/>
        <v>20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25"/>
      <c r="B113" s="25"/>
      <c r="C113" s="25"/>
      <c r="D113" s="25"/>
      <c r="E113" s="23"/>
      <c r="F113" s="24"/>
      <c r="G113" s="25"/>
      <c r="H113" s="25"/>
      <c r="I113" s="23"/>
      <c r="J113" s="25"/>
      <c r="K113" s="25"/>
      <c r="L113" s="25"/>
      <c r="M113" s="26">
        <f t="shared" ref="M113:N113" si="121">M112</f>
        <v>40</v>
      </c>
      <c r="N113" s="36">
        <f t="shared" si="121"/>
        <v>800</v>
      </c>
      <c r="O113" s="25"/>
      <c r="P113" s="9"/>
      <c r="Q113" s="20">
        <f t="shared" si="3"/>
        <v>20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25"/>
      <c r="B114" s="25"/>
      <c r="C114" s="25"/>
      <c r="D114" s="25"/>
      <c r="E114" s="23"/>
      <c r="F114" s="24"/>
      <c r="G114" s="25"/>
      <c r="H114" s="25"/>
      <c r="I114" s="23"/>
      <c r="J114" s="25"/>
      <c r="K114" s="25"/>
      <c r="L114" s="25"/>
      <c r="M114" s="26">
        <f t="shared" ref="M114:N114" si="122">M113</f>
        <v>40</v>
      </c>
      <c r="N114" s="36">
        <f t="shared" si="122"/>
        <v>800</v>
      </c>
      <c r="O114" s="25"/>
      <c r="P114" s="9"/>
      <c r="Q114" s="20">
        <f t="shared" si="3"/>
        <v>20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25"/>
      <c r="B115" s="25"/>
      <c r="C115" s="25"/>
      <c r="D115" s="25"/>
      <c r="E115" s="23"/>
      <c r="F115" s="24"/>
      <c r="G115" s="25"/>
      <c r="H115" s="25"/>
      <c r="I115" s="23"/>
      <c r="J115" s="25"/>
      <c r="K115" s="25"/>
      <c r="L115" s="25"/>
      <c r="M115" s="26">
        <f t="shared" ref="M115:N115" si="123">M114</f>
        <v>40</v>
      </c>
      <c r="N115" s="36">
        <f t="shared" si="123"/>
        <v>800</v>
      </c>
      <c r="O115" s="25"/>
      <c r="P115" s="9"/>
      <c r="Q115" s="20">
        <f t="shared" si="3"/>
        <v>20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25"/>
      <c r="B116" s="25"/>
      <c r="C116" s="25"/>
      <c r="D116" s="25"/>
      <c r="E116" s="23"/>
      <c r="F116" s="24"/>
      <c r="G116" s="25"/>
      <c r="H116" s="25"/>
      <c r="I116" s="23"/>
      <c r="J116" s="25"/>
      <c r="K116" s="25"/>
      <c r="L116" s="25"/>
      <c r="M116" s="26">
        <f t="shared" ref="M116:N116" si="124">M115</f>
        <v>40</v>
      </c>
      <c r="N116" s="36">
        <f t="shared" si="124"/>
        <v>800</v>
      </c>
      <c r="O116" s="25"/>
      <c r="P116" s="9"/>
      <c r="Q116" s="20">
        <f t="shared" si="3"/>
        <v>20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25"/>
      <c r="B117" s="25"/>
      <c r="C117" s="25"/>
      <c r="D117" s="25"/>
      <c r="E117" s="23"/>
      <c r="F117" s="24"/>
      <c r="G117" s="25"/>
      <c r="H117" s="25"/>
      <c r="I117" s="23"/>
      <c r="J117" s="25"/>
      <c r="K117" s="25"/>
      <c r="L117" s="25"/>
      <c r="M117" s="26">
        <f t="shared" ref="M117:N117" si="125">M116</f>
        <v>40</v>
      </c>
      <c r="N117" s="36">
        <f t="shared" si="125"/>
        <v>800</v>
      </c>
      <c r="O117" s="25"/>
      <c r="P117" s="9"/>
      <c r="Q117" s="20">
        <f t="shared" si="3"/>
        <v>20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25"/>
      <c r="B118" s="25"/>
      <c r="C118" s="25"/>
      <c r="D118" s="25"/>
      <c r="E118" s="23"/>
      <c r="F118" s="24"/>
      <c r="G118" s="25"/>
      <c r="H118" s="25"/>
      <c r="I118" s="23"/>
      <c r="J118" s="25"/>
      <c r="K118" s="25"/>
      <c r="L118" s="25"/>
      <c r="M118" s="26">
        <f t="shared" ref="M118:N118" si="126">M117</f>
        <v>40</v>
      </c>
      <c r="N118" s="36">
        <f t="shared" si="126"/>
        <v>800</v>
      </c>
      <c r="O118" s="25"/>
      <c r="P118" s="9"/>
      <c r="Q118" s="20">
        <f t="shared" si="3"/>
        <v>20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25"/>
      <c r="B119" s="25"/>
      <c r="C119" s="25"/>
      <c r="D119" s="25"/>
      <c r="E119" s="23"/>
      <c r="F119" s="24"/>
      <c r="G119" s="25"/>
      <c r="H119" s="25"/>
      <c r="I119" s="23"/>
      <c r="J119" s="25"/>
      <c r="K119" s="25"/>
      <c r="L119" s="25"/>
      <c r="M119" s="26">
        <f t="shared" ref="M119:N119" si="127">M118</f>
        <v>40</v>
      </c>
      <c r="N119" s="36">
        <f t="shared" si="127"/>
        <v>800</v>
      </c>
      <c r="O119" s="25"/>
      <c r="P119" s="9"/>
      <c r="Q119" s="20">
        <f t="shared" si="3"/>
        <v>20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25"/>
      <c r="B120" s="25"/>
      <c r="C120" s="25"/>
      <c r="D120" s="25"/>
      <c r="E120" s="23"/>
      <c r="F120" s="24"/>
      <c r="G120" s="25"/>
      <c r="H120" s="25"/>
      <c r="I120" s="23"/>
      <c r="J120" s="25"/>
      <c r="K120" s="25"/>
      <c r="L120" s="25"/>
      <c r="M120" s="26">
        <f t="shared" ref="M120:N120" si="128">M119</f>
        <v>40</v>
      </c>
      <c r="N120" s="36">
        <f t="shared" si="128"/>
        <v>800</v>
      </c>
      <c r="O120" s="25"/>
      <c r="P120" s="9"/>
      <c r="Q120" s="20">
        <f t="shared" si="3"/>
        <v>20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25"/>
      <c r="B121" s="25"/>
      <c r="C121" s="25"/>
      <c r="D121" s="25"/>
      <c r="E121" s="23"/>
      <c r="F121" s="24"/>
      <c r="G121" s="25"/>
      <c r="H121" s="25"/>
      <c r="I121" s="23"/>
      <c r="J121" s="25"/>
      <c r="K121" s="25"/>
      <c r="L121" s="25"/>
      <c r="M121" s="26">
        <f t="shared" ref="M121:N121" si="129">M120</f>
        <v>40</v>
      </c>
      <c r="N121" s="36">
        <f t="shared" si="129"/>
        <v>800</v>
      </c>
      <c r="O121" s="25"/>
      <c r="P121" s="9"/>
      <c r="Q121" s="20">
        <f t="shared" si="3"/>
        <v>20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25"/>
      <c r="B122" s="25"/>
      <c r="C122" s="25"/>
      <c r="D122" s="25"/>
      <c r="E122" s="23"/>
      <c r="F122" s="24"/>
      <c r="G122" s="25"/>
      <c r="H122" s="25"/>
      <c r="I122" s="23"/>
      <c r="J122" s="25"/>
      <c r="K122" s="25"/>
      <c r="L122" s="25"/>
      <c r="M122" s="26">
        <f t="shared" ref="M122:N122" si="130">M121</f>
        <v>40</v>
      </c>
      <c r="N122" s="36">
        <f t="shared" si="130"/>
        <v>800</v>
      </c>
      <c r="O122" s="25"/>
      <c r="P122" s="9"/>
      <c r="Q122" s="20">
        <f t="shared" si="3"/>
        <v>20</v>
      </c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25"/>
      <c r="B123" s="25"/>
      <c r="C123" s="25"/>
      <c r="D123" s="25"/>
      <c r="E123" s="23"/>
      <c r="F123" s="24"/>
      <c r="G123" s="25"/>
      <c r="H123" s="25"/>
      <c r="I123" s="23"/>
      <c r="J123" s="25"/>
      <c r="K123" s="25"/>
      <c r="L123" s="25"/>
      <c r="M123" s="26">
        <f t="shared" ref="M123:N123" si="131">M122</f>
        <v>40</v>
      </c>
      <c r="N123" s="36">
        <f t="shared" si="131"/>
        <v>800</v>
      </c>
      <c r="O123" s="25"/>
      <c r="P123" s="9"/>
      <c r="Q123" s="20">
        <f t="shared" si="3"/>
        <v>20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25"/>
      <c r="B124" s="25"/>
      <c r="C124" s="25"/>
      <c r="D124" s="25"/>
      <c r="E124" s="23"/>
      <c r="F124" s="24"/>
      <c r="G124" s="25"/>
      <c r="H124" s="25"/>
      <c r="I124" s="23"/>
      <c r="J124" s="25"/>
      <c r="K124" s="25"/>
      <c r="L124" s="25"/>
      <c r="M124" s="26">
        <f t="shared" ref="M124:N124" si="132">M123</f>
        <v>40</v>
      </c>
      <c r="N124" s="36">
        <f t="shared" si="132"/>
        <v>800</v>
      </c>
      <c r="O124" s="25"/>
      <c r="P124" s="9"/>
      <c r="Q124" s="20">
        <f t="shared" si="3"/>
        <v>20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25"/>
      <c r="B125" s="25"/>
      <c r="C125" s="25"/>
      <c r="D125" s="25"/>
      <c r="E125" s="23"/>
      <c r="F125" s="24"/>
      <c r="G125" s="25"/>
      <c r="H125" s="25"/>
      <c r="I125" s="23"/>
      <c r="J125" s="25"/>
      <c r="K125" s="25"/>
      <c r="L125" s="25"/>
      <c r="M125" s="26">
        <f t="shared" ref="M125:N125" si="133">M124</f>
        <v>40</v>
      </c>
      <c r="N125" s="36">
        <f t="shared" si="133"/>
        <v>800</v>
      </c>
      <c r="O125" s="25"/>
      <c r="P125" s="9"/>
      <c r="Q125" s="20">
        <f t="shared" si="3"/>
        <v>20</v>
      </c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25"/>
      <c r="B126" s="25"/>
      <c r="C126" s="25"/>
      <c r="D126" s="25"/>
      <c r="E126" s="23"/>
      <c r="F126" s="24"/>
      <c r="G126" s="25"/>
      <c r="H126" s="25"/>
      <c r="I126" s="23"/>
      <c r="J126" s="25"/>
      <c r="K126" s="25"/>
      <c r="L126" s="25"/>
      <c r="M126" s="26">
        <f t="shared" ref="M126:N126" si="134">M125</f>
        <v>40</v>
      </c>
      <c r="N126" s="36">
        <f t="shared" si="134"/>
        <v>800</v>
      </c>
      <c r="O126" s="25"/>
      <c r="P126" s="9"/>
      <c r="Q126" s="20">
        <f t="shared" si="3"/>
        <v>20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25"/>
      <c r="B127" s="25"/>
      <c r="C127" s="25"/>
      <c r="D127" s="25"/>
      <c r="E127" s="23"/>
      <c r="F127" s="24"/>
      <c r="G127" s="25"/>
      <c r="H127" s="25"/>
      <c r="I127" s="23"/>
      <c r="J127" s="25"/>
      <c r="K127" s="25"/>
      <c r="L127" s="25"/>
      <c r="M127" s="26">
        <f t="shared" ref="M127:N127" si="135">M126</f>
        <v>40</v>
      </c>
      <c r="N127" s="36">
        <f t="shared" si="135"/>
        <v>800</v>
      </c>
      <c r="O127" s="25"/>
      <c r="P127" s="9"/>
      <c r="Q127" s="20">
        <f t="shared" si="3"/>
        <v>20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25"/>
      <c r="B128" s="25"/>
      <c r="C128" s="25"/>
      <c r="D128" s="25"/>
      <c r="E128" s="23"/>
      <c r="F128" s="24"/>
      <c r="G128" s="25"/>
      <c r="H128" s="25"/>
      <c r="I128" s="23"/>
      <c r="J128" s="25"/>
      <c r="K128" s="25"/>
      <c r="L128" s="25"/>
      <c r="M128" s="26">
        <f t="shared" ref="M128:N128" si="136">M127</f>
        <v>40</v>
      </c>
      <c r="N128" s="36">
        <f t="shared" si="136"/>
        <v>800</v>
      </c>
      <c r="O128" s="25"/>
      <c r="P128" s="9"/>
      <c r="Q128" s="20">
        <f t="shared" si="3"/>
        <v>20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25"/>
      <c r="B129" s="25"/>
      <c r="C129" s="25"/>
      <c r="D129" s="25"/>
      <c r="E129" s="23"/>
      <c r="F129" s="24"/>
      <c r="G129" s="25"/>
      <c r="H129" s="25"/>
      <c r="I129" s="23"/>
      <c r="J129" s="25"/>
      <c r="K129" s="25"/>
      <c r="L129" s="25"/>
      <c r="M129" s="26">
        <f t="shared" ref="M129:N129" si="137">M128</f>
        <v>40</v>
      </c>
      <c r="N129" s="36">
        <f t="shared" si="137"/>
        <v>800</v>
      </c>
      <c r="O129" s="25"/>
      <c r="P129" s="9"/>
      <c r="Q129" s="20">
        <f t="shared" si="3"/>
        <v>20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25"/>
      <c r="B130" s="25"/>
      <c r="C130" s="25"/>
      <c r="D130" s="25"/>
      <c r="E130" s="23"/>
      <c r="F130" s="24"/>
      <c r="G130" s="25"/>
      <c r="H130" s="25"/>
      <c r="I130" s="23"/>
      <c r="J130" s="25"/>
      <c r="K130" s="25"/>
      <c r="L130" s="25"/>
      <c r="M130" s="26">
        <f t="shared" ref="M130:N130" si="138">M129</f>
        <v>40</v>
      </c>
      <c r="N130" s="36">
        <f t="shared" si="138"/>
        <v>800</v>
      </c>
      <c r="O130" s="25"/>
      <c r="P130" s="9"/>
      <c r="Q130" s="20">
        <f t="shared" si="3"/>
        <v>20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25"/>
      <c r="B131" s="25"/>
      <c r="C131" s="25"/>
      <c r="D131" s="25"/>
      <c r="E131" s="23"/>
      <c r="F131" s="24"/>
      <c r="G131" s="25"/>
      <c r="H131" s="25"/>
      <c r="I131" s="23"/>
      <c r="J131" s="25"/>
      <c r="K131" s="25"/>
      <c r="L131" s="25"/>
      <c r="M131" s="26">
        <f t="shared" ref="M131:N131" si="139">M130</f>
        <v>40</v>
      </c>
      <c r="N131" s="36">
        <f t="shared" si="139"/>
        <v>800</v>
      </c>
      <c r="O131" s="25"/>
      <c r="P131" s="9"/>
      <c r="Q131" s="20">
        <f t="shared" si="3"/>
        <v>20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25"/>
      <c r="B132" s="25"/>
      <c r="C132" s="25"/>
      <c r="D132" s="25"/>
      <c r="E132" s="23"/>
      <c r="F132" s="24"/>
      <c r="G132" s="25"/>
      <c r="H132" s="25"/>
      <c r="I132" s="23"/>
      <c r="J132" s="25"/>
      <c r="K132" s="25"/>
      <c r="L132" s="25"/>
      <c r="M132" s="26">
        <f t="shared" ref="M132:N132" si="140">M131</f>
        <v>40</v>
      </c>
      <c r="N132" s="36">
        <f t="shared" si="140"/>
        <v>800</v>
      </c>
      <c r="O132" s="25"/>
      <c r="P132" s="9"/>
      <c r="Q132" s="20">
        <f t="shared" si="3"/>
        <v>20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25"/>
      <c r="B133" s="25"/>
      <c r="C133" s="25"/>
      <c r="D133" s="25"/>
      <c r="E133" s="23"/>
      <c r="F133" s="24"/>
      <c r="G133" s="25"/>
      <c r="H133" s="25"/>
      <c r="I133" s="23"/>
      <c r="J133" s="25"/>
      <c r="K133" s="25"/>
      <c r="L133" s="25"/>
      <c r="M133" s="26">
        <f t="shared" ref="M133:N133" si="141">M132</f>
        <v>40</v>
      </c>
      <c r="N133" s="36">
        <f t="shared" si="141"/>
        <v>800</v>
      </c>
      <c r="O133" s="25"/>
      <c r="P133" s="9"/>
      <c r="Q133" s="20">
        <f t="shared" si="3"/>
        <v>20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25"/>
      <c r="B134" s="25"/>
      <c r="C134" s="25"/>
      <c r="D134" s="25"/>
      <c r="E134" s="23"/>
      <c r="F134" s="24"/>
      <c r="G134" s="25"/>
      <c r="H134" s="25"/>
      <c r="I134" s="23"/>
      <c r="J134" s="25"/>
      <c r="K134" s="25"/>
      <c r="L134" s="25"/>
      <c r="M134" s="26">
        <f t="shared" ref="M134:N134" si="142">M133</f>
        <v>40</v>
      </c>
      <c r="N134" s="36">
        <f t="shared" si="142"/>
        <v>800</v>
      </c>
      <c r="O134" s="25"/>
      <c r="P134" s="9"/>
      <c r="Q134" s="20">
        <f t="shared" si="3"/>
        <v>20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25"/>
      <c r="B135" s="25"/>
      <c r="C135" s="25"/>
      <c r="D135" s="25"/>
      <c r="E135" s="23"/>
      <c r="F135" s="24"/>
      <c r="G135" s="25"/>
      <c r="H135" s="25"/>
      <c r="I135" s="23"/>
      <c r="J135" s="25"/>
      <c r="K135" s="25"/>
      <c r="L135" s="25"/>
      <c r="M135" s="26">
        <f t="shared" ref="M135:N135" si="143">M134</f>
        <v>40</v>
      </c>
      <c r="N135" s="36">
        <f t="shared" si="143"/>
        <v>800</v>
      </c>
      <c r="O135" s="25"/>
      <c r="P135" s="9"/>
      <c r="Q135" s="20">
        <f t="shared" si="3"/>
        <v>20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25"/>
      <c r="B136" s="25"/>
      <c r="C136" s="25"/>
      <c r="D136" s="25"/>
      <c r="E136" s="23"/>
      <c r="F136" s="24"/>
      <c r="G136" s="25"/>
      <c r="H136" s="25"/>
      <c r="I136" s="23"/>
      <c r="J136" s="25"/>
      <c r="K136" s="25"/>
      <c r="L136" s="25"/>
      <c r="M136" s="26">
        <f t="shared" ref="M136:N136" si="144">M135</f>
        <v>40</v>
      </c>
      <c r="N136" s="36">
        <f t="shared" si="144"/>
        <v>800</v>
      </c>
      <c r="O136" s="25"/>
      <c r="P136" s="9"/>
      <c r="Q136" s="20">
        <f t="shared" si="3"/>
        <v>20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25"/>
      <c r="B137" s="25"/>
      <c r="C137" s="25"/>
      <c r="D137" s="25"/>
      <c r="E137" s="23"/>
      <c r="F137" s="24"/>
      <c r="G137" s="25"/>
      <c r="H137" s="25"/>
      <c r="I137" s="23"/>
      <c r="J137" s="25"/>
      <c r="K137" s="25"/>
      <c r="L137" s="25"/>
      <c r="M137" s="26">
        <f t="shared" ref="M137:N137" si="145">M136</f>
        <v>40</v>
      </c>
      <c r="N137" s="36">
        <f t="shared" si="145"/>
        <v>800</v>
      </c>
      <c r="O137" s="25"/>
      <c r="P137" s="9"/>
      <c r="Q137" s="20">
        <f t="shared" si="3"/>
        <v>20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25"/>
      <c r="B138" s="25"/>
      <c r="C138" s="25"/>
      <c r="D138" s="25"/>
      <c r="E138" s="23"/>
      <c r="F138" s="24"/>
      <c r="G138" s="25"/>
      <c r="H138" s="25"/>
      <c r="I138" s="23"/>
      <c r="J138" s="25"/>
      <c r="K138" s="25"/>
      <c r="L138" s="25"/>
      <c r="M138" s="26">
        <f t="shared" ref="M138:N138" si="146">M137</f>
        <v>40</v>
      </c>
      <c r="N138" s="36">
        <f t="shared" si="146"/>
        <v>800</v>
      </c>
      <c r="O138" s="25"/>
      <c r="P138" s="9"/>
      <c r="Q138" s="20">
        <f t="shared" si="3"/>
        <v>20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25"/>
      <c r="B139" s="25"/>
      <c r="C139" s="25"/>
      <c r="D139" s="25"/>
      <c r="E139" s="23"/>
      <c r="F139" s="24"/>
      <c r="G139" s="25"/>
      <c r="H139" s="25"/>
      <c r="I139" s="23"/>
      <c r="J139" s="25"/>
      <c r="K139" s="25"/>
      <c r="L139" s="25"/>
      <c r="M139" s="26">
        <f t="shared" ref="M139:N139" si="147">M138</f>
        <v>40</v>
      </c>
      <c r="N139" s="36">
        <f t="shared" si="147"/>
        <v>800</v>
      </c>
      <c r="O139" s="25"/>
      <c r="P139" s="9"/>
      <c r="Q139" s="20">
        <f t="shared" si="3"/>
        <v>20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25"/>
      <c r="B140" s="25"/>
      <c r="C140" s="25"/>
      <c r="D140" s="25"/>
      <c r="E140" s="23"/>
      <c r="F140" s="24"/>
      <c r="G140" s="25"/>
      <c r="H140" s="25"/>
      <c r="I140" s="23"/>
      <c r="J140" s="25"/>
      <c r="K140" s="25"/>
      <c r="L140" s="25"/>
      <c r="M140" s="26">
        <f t="shared" ref="M140:N140" si="148">M139</f>
        <v>40</v>
      </c>
      <c r="N140" s="36">
        <f t="shared" si="148"/>
        <v>800</v>
      </c>
      <c r="O140" s="25"/>
      <c r="P140" s="9"/>
      <c r="Q140" s="20">
        <f t="shared" si="3"/>
        <v>20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5"/>
      <c r="B141" s="25"/>
      <c r="C141" s="25"/>
      <c r="D141" s="25"/>
      <c r="E141" s="23"/>
      <c r="F141" s="24"/>
      <c r="G141" s="25"/>
      <c r="H141" s="25"/>
      <c r="I141" s="23"/>
      <c r="J141" s="25"/>
      <c r="K141" s="25"/>
      <c r="L141" s="25"/>
      <c r="M141" s="26">
        <f t="shared" ref="M141:N141" si="149">M140</f>
        <v>40</v>
      </c>
      <c r="N141" s="36">
        <f t="shared" si="149"/>
        <v>800</v>
      </c>
      <c r="O141" s="25"/>
      <c r="P141" s="9"/>
      <c r="Q141" s="20">
        <f t="shared" si="3"/>
        <v>20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25"/>
      <c r="B142" s="25"/>
      <c r="C142" s="25"/>
      <c r="D142" s="25"/>
      <c r="E142" s="23"/>
      <c r="F142" s="24"/>
      <c r="G142" s="25"/>
      <c r="H142" s="25"/>
      <c r="I142" s="23"/>
      <c r="J142" s="25"/>
      <c r="K142" s="25"/>
      <c r="L142" s="25"/>
      <c r="M142" s="26">
        <f t="shared" ref="M142:N142" si="150">M141</f>
        <v>40</v>
      </c>
      <c r="N142" s="36">
        <f t="shared" si="150"/>
        <v>800</v>
      </c>
      <c r="O142" s="25"/>
      <c r="P142" s="9"/>
      <c r="Q142" s="20">
        <f t="shared" si="3"/>
        <v>20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25"/>
      <c r="B143" s="25"/>
      <c r="C143" s="25"/>
      <c r="D143" s="25"/>
      <c r="E143" s="23"/>
      <c r="F143" s="24"/>
      <c r="G143" s="25"/>
      <c r="H143" s="25"/>
      <c r="I143" s="23"/>
      <c r="J143" s="25"/>
      <c r="K143" s="25"/>
      <c r="L143" s="25"/>
      <c r="M143" s="26">
        <f t="shared" ref="M143:N143" si="151">M142</f>
        <v>40</v>
      </c>
      <c r="N143" s="36">
        <f t="shared" si="151"/>
        <v>800</v>
      </c>
      <c r="O143" s="25"/>
      <c r="P143" s="9"/>
      <c r="Q143" s="20">
        <f t="shared" si="3"/>
        <v>20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25"/>
      <c r="B144" s="25"/>
      <c r="C144" s="25"/>
      <c r="D144" s="25"/>
      <c r="E144" s="23"/>
      <c r="F144" s="24"/>
      <c r="G144" s="25"/>
      <c r="H144" s="25"/>
      <c r="I144" s="23"/>
      <c r="J144" s="25"/>
      <c r="K144" s="25"/>
      <c r="L144" s="25"/>
      <c r="M144" s="26">
        <f t="shared" ref="M144:N144" si="152">M143</f>
        <v>40</v>
      </c>
      <c r="N144" s="36">
        <f t="shared" si="152"/>
        <v>800</v>
      </c>
      <c r="O144" s="25"/>
      <c r="P144" s="9"/>
      <c r="Q144" s="20">
        <f t="shared" si="3"/>
        <v>20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25"/>
      <c r="B145" s="25"/>
      <c r="C145" s="25"/>
      <c r="D145" s="25"/>
      <c r="E145" s="23"/>
      <c r="F145" s="24"/>
      <c r="G145" s="25"/>
      <c r="H145" s="25"/>
      <c r="I145" s="23"/>
      <c r="J145" s="25"/>
      <c r="K145" s="25"/>
      <c r="L145" s="25"/>
      <c r="M145" s="26">
        <f t="shared" ref="M145:N145" si="153">M144</f>
        <v>40</v>
      </c>
      <c r="N145" s="36">
        <f t="shared" si="153"/>
        <v>800</v>
      </c>
      <c r="O145" s="25"/>
      <c r="P145" s="9"/>
      <c r="Q145" s="20">
        <f t="shared" si="3"/>
        <v>20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25"/>
      <c r="B146" s="25"/>
      <c r="C146" s="25"/>
      <c r="D146" s="25"/>
      <c r="E146" s="23"/>
      <c r="F146" s="24"/>
      <c r="G146" s="25"/>
      <c r="H146" s="25"/>
      <c r="I146" s="23"/>
      <c r="J146" s="25"/>
      <c r="K146" s="25"/>
      <c r="L146" s="25"/>
      <c r="M146" s="26">
        <f t="shared" ref="M146:N146" si="154">M145</f>
        <v>40</v>
      </c>
      <c r="N146" s="36">
        <f t="shared" si="154"/>
        <v>800</v>
      </c>
      <c r="O146" s="25"/>
      <c r="P146" s="9"/>
      <c r="Q146" s="20">
        <f t="shared" si="3"/>
        <v>20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25"/>
      <c r="B147" s="25"/>
      <c r="C147" s="25"/>
      <c r="D147" s="25"/>
      <c r="E147" s="23"/>
      <c r="F147" s="24"/>
      <c r="G147" s="25"/>
      <c r="H147" s="25"/>
      <c r="I147" s="23"/>
      <c r="J147" s="25"/>
      <c r="K147" s="25"/>
      <c r="L147" s="25"/>
      <c r="M147" s="26">
        <f t="shared" ref="M147:N147" si="155">M146</f>
        <v>40</v>
      </c>
      <c r="N147" s="36">
        <f t="shared" si="155"/>
        <v>800</v>
      </c>
      <c r="O147" s="25"/>
      <c r="P147" s="9"/>
      <c r="Q147" s="20">
        <f t="shared" si="3"/>
        <v>20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25"/>
      <c r="B148" s="25"/>
      <c r="C148" s="25"/>
      <c r="D148" s="25"/>
      <c r="E148" s="23"/>
      <c r="F148" s="24"/>
      <c r="G148" s="25"/>
      <c r="H148" s="25"/>
      <c r="I148" s="23"/>
      <c r="J148" s="25"/>
      <c r="K148" s="25"/>
      <c r="L148" s="25"/>
      <c r="M148" s="26">
        <f t="shared" ref="M148:N148" si="156">M147</f>
        <v>40</v>
      </c>
      <c r="N148" s="36">
        <f t="shared" si="156"/>
        <v>800</v>
      </c>
      <c r="O148" s="25"/>
      <c r="P148" s="9"/>
      <c r="Q148" s="20">
        <f t="shared" si="3"/>
        <v>20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25"/>
      <c r="B149" s="25"/>
      <c r="C149" s="25"/>
      <c r="D149" s="25"/>
      <c r="E149" s="23"/>
      <c r="F149" s="24"/>
      <c r="G149" s="25"/>
      <c r="H149" s="25"/>
      <c r="I149" s="23"/>
      <c r="J149" s="25"/>
      <c r="K149" s="25"/>
      <c r="L149" s="25"/>
      <c r="M149" s="26">
        <f t="shared" ref="M149:N149" si="157">M148</f>
        <v>40</v>
      </c>
      <c r="N149" s="36">
        <f t="shared" si="157"/>
        <v>800</v>
      </c>
      <c r="O149" s="25"/>
      <c r="P149" s="9"/>
      <c r="Q149" s="20">
        <f t="shared" si="3"/>
        <v>20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25"/>
      <c r="B150" s="25"/>
      <c r="C150" s="25"/>
      <c r="D150" s="25"/>
      <c r="E150" s="23"/>
      <c r="F150" s="24"/>
      <c r="G150" s="25"/>
      <c r="H150" s="25"/>
      <c r="I150" s="23"/>
      <c r="J150" s="25"/>
      <c r="K150" s="25"/>
      <c r="L150" s="25"/>
      <c r="M150" s="26">
        <f t="shared" ref="M150:N150" si="158">M149</f>
        <v>40</v>
      </c>
      <c r="N150" s="36">
        <f t="shared" si="158"/>
        <v>800</v>
      </c>
      <c r="O150" s="25"/>
      <c r="P150" s="9"/>
      <c r="Q150" s="20">
        <f t="shared" si="3"/>
        <v>20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25"/>
      <c r="B151" s="25"/>
      <c r="C151" s="25"/>
      <c r="D151" s="25"/>
      <c r="E151" s="23"/>
      <c r="F151" s="24"/>
      <c r="G151" s="25"/>
      <c r="H151" s="25"/>
      <c r="I151" s="23"/>
      <c r="J151" s="25"/>
      <c r="K151" s="25"/>
      <c r="L151" s="25"/>
      <c r="M151" s="26">
        <f t="shared" ref="M151:N151" si="159">M150</f>
        <v>40</v>
      </c>
      <c r="N151" s="36">
        <f t="shared" si="159"/>
        <v>800</v>
      </c>
      <c r="O151" s="25"/>
      <c r="P151" s="9"/>
      <c r="Q151" s="20">
        <f t="shared" si="3"/>
        <v>20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25"/>
      <c r="B152" s="25"/>
      <c r="C152" s="25"/>
      <c r="D152" s="25"/>
      <c r="E152" s="23"/>
      <c r="F152" s="24"/>
      <c r="G152" s="25"/>
      <c r="H152" s="25"/>
      <c r="I152" s="23"/>
      <c r="J152" s="25"/>
      <c r="K152" s="25"/>
      <c r="L152" s="25"/>
      <c r="M152" s="26">
        <f t="shared" ref="M152:N152" si="160">M151</f>
        <v>40</v>
      </c>
      <c r="N152" s="36">
        <f t="shared" si="160"/>
        <v>800</v>
      </c>
      <c r="O152" s="25"/>
      <c r="P152" s="9"/>
      <c r="Q152" s="20">
        <f t="shared" si="3"/>
        <v>20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25"/>
      <c r="B153" s="25"/>
      <c r="C153" s="25"/>
      <c r="D153" s="25"/>
      <c r="E153" s="23"/>
      <c r="F153" s="24"/>
      <c r="G153" s="25"/>
      <c r="H153" s="25"/>
      <c r="I153" s="23"/>
      <c r="J153" s="25"/>
      <c r="K153" s="25"/>
      <c r="L153" s="25"/>
      <c r="M153" s="26">
        <f t="shared" ref="M153:N153" si="161">M152</f>
        <v>40</v>
      </c>
      <c r="N153" s="36">
        <f t="shared" si="161"/>
        <v>800</v>
      </c>
      <c r="O153" s="25"/>
      <c r="P153" s="9"/>
      <c r="Q153" s="20">
        <f t="shared" si="3"/>
        <v>20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25"/>
      <c r="B154" s="25"/>
      <c r="C154" s="25"/>
      <c r="D154" s="25"/>
      <c r="E154" s="23"/>
      <c r="F154" s="24"/>
      <c r="G154" s="25"/>
      <c r="H154" s="25"/>
      <c r="I154" s="23"/>
      <c r="J154" s="25"/>
      <c r="K154" s="25"/>
      <c r="L154" s="25"/>
      <c r="M154" s="26">
        <f t="shared" ref="M154:N154" si="162">M153</f>
        <v>40</v>
      </c>
      <c r="N154" s="36">
        <f t="shared" si="162"/>
        <v>800</v>
      </c>
      <c r="O154" s="25"/>
      <c r="P154" s="9"/>
      <c r="Q154" s="20">
        <f t="shared" si="3"/>
        <v>20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25"/>
      <c r="B155" s="25"/>
      <c r="C155" s="25"/>
      <c r="D155" s="25"/>
      <c r="E155" s="23"/>
      <c r="F155" s="24"/>
      <c r="G155" s="25"/>
      <c r="H155" s="25"/>
      <c r="I155" s="23"/>
      <c r="J155" s="25"/>
      <c r="K155" s="25"/>
      <c r="L155" s="25"/>
      <c r="M155" s="26">
        <f t="shared" ref="M155:N155" si="163">M154</f>
        <v>40</v>
      </c>
      <c r="N155" s="36">
        <f t="shared" si="163"/>
        <v>800</v>
      </c>
      <c r="O155" s="25"/>
      <c r="P155" s="9"/>
      <c r="Q155" s="20">
        <f t="shared" si="3"/>
        <v>20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25"/>
      <c r="B156" s="25"/>
      <c r="C156" s="25"/>
      <c r="D156" s="25"/>
      <c r="E156" s="23"/>
      <c r="F156" s="24"/>
      <c r="G156" s="25"/>
      <c r="H156" s="25"/>
      <c r="I156" s="23"/>
      <c r="J156" s="25"/>
      <c r="K156" s="25"/>
      <c r="L156" s="25"/>
      <c r="M156" s="26">
        <f t="shared" ref="M156:N156" si="164">M155</f>
        <v>40</v>
      </c>
      <c r="N156" s="36">
        <f t="shared" si="164"/>
        <v>800</v>
      </c>
      <c r="O156" s="25"/>
      <c r="P156" s="9"/>
      <c r="Q156" s="20">
        <f t="shared" si="3"/>
        <v>20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25"/>
      <c r="B157" s="25"/>
      <c r="C157" s="25"/>
      <c r="D157" s="25"/>
      <c r="E157" s="23"/>
      <c r="F157" s="24"/>
      <c r="G157" s="25"/>
      <c r="H157" s="25"/>
      <c r="I157" s="23"/>
      <c r="J157" s="25"/>
      <c r="K157" s="25"/>
      <c r="L157" s="25"/>
      <c r="M157" s="26">
        <f t="shared" ref="M157:N157" si="165">M156</f>
        <v>40</v>
      </c>
      <c r="N157" s="36">
        <f t="shared" si="165"/>
        <v>800</v>
      </c>
      <c r="O157" s="25"/>
      <c r="P157" s="9"/>
      <c r="Q157" s="20">
        <f t="shared" si="3"/>
        <v>20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25"/>
      <c r="B158" s="25"/>
      <c r="C158" s="25"/>
      <c r="D158" s="25"/>
      <c r="E158" s="23"/>
      <c r="F158" s="24"/>
      <c r="G158" s="25"/>
      <c r="H158" s="25"/>
      <c r="I158" s="23"/>
      <c r="J158" s="25"/>
      <c r="K158" s="25"/>
      <c r="L158" s="25"/>
      <c r="M158" s="26">
        <f t="shared" ref="M158:N158" si="166">M157</f>
        <v>40</v>
      </c>
      <c r="N158" s="36">
        <f t="shared" si="166"/>
        <v>800</v>
      </c>
      <c r="O158" s="25"/>
      <c r="P158" s="9"/>
      <c r="Q158" s="20">
        <f t="shared" si="3"/>
        <v>20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25"/>
      <c r="B159" s="25"/>
      <c r="C159" s="25"/>
      <c r="D159" s="25"/>
      <c r="E159" s="23"/>
      <c r="F159" s="24"/>
      <c r="G159" s="25"/>
      <c r="H159" s="25"/>
      <c r="I159" s="23"/>
      <c r="J159" s="25"/>
      <c r="K159" s="25"/>
      <c r="L159" s="25"/>
      <c r="M159" s="26">
        <f t="shared" ref="M159:N159" si="167">M158</f>
        <v>40</v>
      </c>
      <c r="N159" s="36">
        <f t="shared" si="167"/>
        <v>800</v>
      </c>
      <c r="O159" s="25"/>
      <c r="P159" s="9"/>
      <c r="Q159" s="20">
        <f t="shared" si="3"/>
        <v>20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25"/>
      <c r="B160" s="25"/>
      <c r="C160" s="25"/>
      <c r="D160" s="25"/>
      <c r="E160" s="23"/>
      <c r="F160" s="24"/>
      <c r="G160" s="25"/>
      <c r="H160" s="25"/>
      <c r="I160" s="23"/>
      <c r="J160" s="25"/>
      <c r="K160" s="25"/>
      <c r="L160" s="25"/>
      <c r="M160" s="26">
        <f t="shared" ref="M160:N160" si="168">M159</f>
        <v>40</v>
      </c>
      <c r="N160" s="36">
        <f t="shared" si="168"/>
        <v>800</v>
      </c>
      <c r="O160" s="25"/>
      <c r="P160" s="9"/>
      <c r="Q160" s="20">
        <f t="shared" si="3"/>
        <v>20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25"/>
      <c r="B161" s="25"/>
      <c r="C161" s="25"/>
      <c r="D161" s="25"/>
      <c r="E161" s="23"/>
      <c r="F161" s="24"/>
      <c r="G161" s="25"/>
      <c r="H161" s="25"/>
      <c r="I161" s="23"/>
      <c r="J161" s="25"/>
      <c r="K161" s="25"/>
      <c r="L161" s="25"/>
      <c r="M161" s="26">
        <f t="shared" ref="M161:N161" si="169">M160</f>
        <v>40</v>
      </c>
      <c r="N161" s="36">
        <f t="shared" si="169"/>
        <v>800</v>
      </c>
      <c r="O161" s="25"/>
      <c r="P161" s="9"/>
      <c r="Q161" s="20">
        <f t="shared" si="3"/>
        <v>20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25"/>
      <c r="B162" s="25"/>
      <c r="C162" s="25"/>
      <c r="D162" s="25"/>
      <c r="E162" s="23"/>
      <c r="F162" s="24"/>
      <c r="G162" s="25"/>
      <c r="H162" s="25"/>
      <c r="I162" s="23"/>
      <c r="J162" s="25"/>
      <c r="K162" s="25"/>
      <c r="L162" s="25"/>
      <c r="M162" s="26">
        <f t="shared" ref="M162:N162" si="170">M161</f>
        <v>40</v>
      </c>
      <c r="N162" s="36">
        <f t="shared" si="170"/>
        <v>800</v>
      </c>
      <c r="O162" s="25"/>
      <c r="P162" s="9"/>
      <c r="Q162" s="20">
        <f t="shared" si="3"/>
        <v>20</v>
      </c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25"/>
      <c r="B163" s="25"/>
      <c r="C163" s="25"/>
      <c r="D163" s="25"/>
      <c r="E163" s="23"/>
      <c r="F163" s="24"/>
      <c r="G163" s="25"/>
      <c r="H163" s="25"/>
      <c r="I163" s="23"/>
      <c r="J163" s="25"/>
      <c r="K163" s="25"/>
      <c r="L163" s="25"/>
      <c r="M163" s="26">
        <f t="shared" ref="M163:N163" si="171">M162</f>
        <v>40</v>
      </c>
      <c r="N163" s="36">
        <f t="shared" si="171"/>
        <v>800</v>
      </c>
      <c r="O163" s="25"/>
      <c r="P163" s="9"/>
      <c r="Q163" s="20">
        <f t="shared" si="3"/>
        <v>20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25"/>
      <c r="B164" s="25"/>
      <c r="C164" s="25"/>
      <c r="D164" s="25"/>
      <c r="E164" s="23"/>
      <c r="F164" s="24"/>
      <c r="G164" s="25"/>
      <c r="H164" s="25"/>
      <c r="I164" s="23"/>
      <c r="J164" s="25"/>
      <c r="K164" s="25"/>
      <c r="L164" s="25"/>
      <c r="M164" s="26">
        <f t="shared" ref="M164:N164" si="172">M163</f>
        <v>40</v>
      </c>
      <c r="N164" s="36">
        <f t="shared" si="172"/>
        <v>800</v>
      </c>
      <c r="O164" s="25"/>
      <c r="P164" s="9"/>
      <c r="Q164" s="20">
        <f t="shared" si="3"/>
        <v>20</v>
      </c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25"/>
      <c r="B165" s="25"/>
      <c r="C165" s="25"/>
      <c r="D165" s="25"/>
      <c r="E165" s="23"/>
      <c r="F165" s="24"/>
      <c r="G165" s="25"/>
      <c r="H165" s="25"/>
      <c r="I165" s="23"/>
      <c r="J165" s="25"/>
      <c r="K165" s="25"/>
      <c r="L165" s="25"/>
      <c r="M165" s="26">
        <f t="shared" ref="M165:N165" si="173">M164</f>
        <v>40</v>
      </c>
      <c r="N165" s="36">
        <f t="shared" si="173"/>
        <v>800</v>
      </c>
      <c r="O165" s="25"/>
      <c r="P165" s="9"/>
      <c r="Q165" s="20">
        <f t="shared" si="3"/>
        <v>20</v>
      </c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25"/>
      <c r="B166" s="25"/>
      <c r="C166" s="25"/>
      <c r="D166" s="25"/>
      <c r="E166" s="23"/>
      <c r="F166" s="24"/>
      <c r="G166" s="25"/>
      <c r="H166" s="25"/>
      <c r="I166" s="23"/>
      <c r="J166" s="25"/>
      <c r="K166" s="25"/>
      <c r="L166" s="25"/>
      <c r="M166" s="26">
        <f t="shared" ref="M166:N166" si="174">M165</f>
        <v>40</v>
      </c>
      <c r="N166" s="36">
        <f t="shared" si="174"/>
        <v>800</v>
      </c>
      <c r="O166" s="25"/>
      <c r="P166" s="9"/>
      <c r="Q166" s="20">
        <f t="shared" si="3"/>
        <v>20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25"/>
      <c r="B167" s="25"/>
      <c r="C167" s="25"/>
      <c r="D167" s="25"/>
      <c r="E167" s="23"/>
      <c r="F167" s="24"/>
      <c r="G167" s="25"/>
      <c r="H167" s="25"/>
      <c r="I167" s="23"/>
      <c r="J167" s="25"/>
      <c r="K167" s="25"/>
      <c r="L167" s="25"/>
      <c r="M167" s="26">
        <f t="shared" ref="M167:N167" si="175">M166</f>
        <v>40</v>
      </c>
      <c r="N167" s="36">
        <f t="shared" si="175"/>
        <v>800</v>
      </c>
      <c r="O167" s="25"/>
      <c r="P167" s="9"/>
      <c r="Q167" s="20">
        <f t="shared" si="3"/>
        <v>20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25"/>
      <c r="B168" s="25"/>
      <c r="C168" s="25"/>
      <c r="D168" s="25"/>
      <c r="E168" s="23"/>
      <c r="F168" s="24"/>
      <c r="G168" s="25"/>
      <c r="H168" s="25"/>
      <c r="I168" s="23"/>
      <c r="J168" s="25"/>
      <c r="K168" s="25"/>
      <c r="L168" s="25"/>
      <c r="M168" s="26">
        <f t="shared" ref="M168:N168" si="176">M167</f>
        <v>40</v>
      </c>
      <c r="N168" s="36">
        <f t="shared" si="176"/>
        <v>800</v>
      </c>
      <c r="O168" s="25"/>
      <c r="P168" s="9"/>
      <c r="Q168" s="20">
        <f t="shared" si="3"/>
        <v>20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25"/>
      <c r="B169" s="25"/>
      <c r="C169" s="25"/>
      <c r="D169" s="25"/>
      <c r="E169" s="23"/>
      <c r="F169" s="24"/>
      <c r="G169" s="25"/>
      <c r="H169" s="25"/>
      <c r="I169" s="23"/>
      <c r="J169" s="25"/>
      <c r="K169" s="25"/>
      <c r="L169" s="25"/>
      <c r="M169" s="26">
        <f t="shared" ref="M169:N169" si="177">M168</f>
        <v>40</v>
      </c>
      <c r="N169" s="36">
        <f t="shared" si="177"/>
        <v>800</v>
      </c>
      <c r="O169" s="25"/>
      <c r="P169" s="9"/>
      <c r="Q169" s="20">
        <f t="shared" si="3"/>
        <v>20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25"/>
      <c r="B170" s="25"/>
      <c r="C170" s="25"/>
      <c r="D170" s="25"/>
      <c r="E170" s="23"/>
      <c r="F170" s="24"/>
      <c r="G170" s="25"/>
      <c r="H170" s="25"/>
      <c r="I170" s="23"/>
      <c r="J170" s="25"/>
      <c r="K170" s="25"/>
      <c r="L170" s="25"/>
      <c r="M170" s="26">
        <f t="shared" ref="M170:N170" si="178">M169</f>
        <v>40</v>
      </c>
      <c r="N170" s="36">
        <f t="shared" si="178"/>
        <v>800</v>
      </c>
      <c r="O170" s="25"/>
      <c r="P170" s="9"/>
      <c r="Q170" s="20">
        <f t="shared" si="3"/>
        <v>20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25"/>
      <c r="B171" s="25"/>
      <c r="C171" s="25"/>
      <c r="D171" s="25"/>
      <c r="E171" s="23"/>
      <c r="F171" s="24"/>
      <c r="G171" s="25"/>
      <c r="H171" s="25"/>
      <c r="I171" s="23"/>
      <c r="J171" s="25"/>
      <c r="K171" s="25"/>
      <c r="L171" s="25"/>
      <c r="M171" s="26">
        <f t="shared" ref="M171:N171" si="179">M170</f>
        <v>40</v>
      </c>
      <c r="N171" s="36">
        <f t="shared" si="179"/>
        <v>800</v>
      </c>
      <c r="O171" s="25"/>
      <c r="P171" s="9"/>
      <c r="Q171" s="20">
        <f t="shared" si="3"/>
        <v>20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25"/>
      <c r="B172" s="25"/>
      <c r="C172" s="25"/>
      <c r="D172" s="25"/>
      <c r="E172" s="23"/>
      <c r="F172" s="24"/>
      <c r="G172" s="25"/>
      <c r="H172" s="25"/>
      <c r="I172" s="23"/>
      <c r="J172" s="25"/>
      <c r="K172" s="25"/>
      <c r="L172" s="25"/>
      <c r="M172" s="26">
        <f t="shared" ref="M172:N172" si="180">M171</f>
        <v>40</v>
      </c>
      <c r="N172" s="36">
        <f t="shared" si="180"/>
        <v>800</v>
      </c>
      <c r="O172" s="25"/>
      <c r="P172" s="9"/>
      <c r="Q172" s="20">
        <f t="shared" si="3"/>
        <v>20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25"/>
      <c r="B173" s="25"/>
      <c r="C173" s="25"/>
      <c r="D173" s="25"/>
      <c r="E173" s="23"/>
      <c r="F173" s="24"/>
      <c r="G173" s="25"/>
      <c r="H173" s="25"/>
      <c r="I173" s="23"/>
      <c r="J173" s="25"/>
      <c r="K173" s="25"/>
      <c r="L173" s="25"/>
      <c r="M173" s="26">
        <f t="shared" ref="M173:N173" si="181">M172</f>
        <v>40</v>
      </c>
      <c r="N173" s="36">
        <f t="shared" si="181"/>
        <v>800</v>
      </c>
      <c r="O173" s="25"/>
      <c r="P173" s="9"/>
      <c r="Q173" s="20">
        <f t="shared" si="3"/>
        <v>20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25"/>
      <c r="B174" s="25"/>
      <c r="C174" s="25"/>
      <c r="D174" s="25"/>
      <c r="E174" s="23"/>
      <c r="F174" s="24"/>
      <c r="G174" s="25"/>
      <c r="H174" s="25"/>
      <c r="I174" s="23"/>
      <c r="J174" s="25"/>
      <c r="K174" s="25"/>
      <c r="L174" s="25"/>
      <c r="M174" s="26">
        <f t="shared" ref="M174:N174" si="182">M173</f>
        <v>40</v>
      </c>
      <c r="N174" s="36">
        <f t="shared" si="182"/>
        <v>800</v>
      </c>
      <c r="O174" s="25"/>
      <c r="P174" s="9"/>
      <c r="Q174" s="20">
        <f t="shared" si="3"/>
        <v>20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25"/>
      <c r="B175" s="25"/>
      <c r="C175" s="25"/>
      <c r="D175" s="25"/>
      <c r="E175" s="23"/>
      <c r="F175" s="24"/>
      <c r="G175" s="25"/>
      <c r="H175" s="25"/>
      <c r="I175" s="23"/>
      <c r="J175" s="25"/>
      <c r="K175" s="25"/>
      <c r="L175" s="25"/>
      <c r="M175" s="26">
        <f t="shared" ref="M175:N175" si="183">M174</f>
        <v>40</v>
      </c>
      <c r="N175" s="36">
        <f t="shared" si="183"/>
        <v>800</v>
      </c>
      <c r="O175" s="25"/>
      <c r="P175" s="9"/>
      <c r="Q175" s="20">
        <f t="shared" si="3"/>
        <v>20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25"/>
      <c r="B176" s="25"/>
      <c r="C176" s="25"/>
      <c r="D176" s="25"/>
      <c r="E176" s="23"/>
      <c r="F176" s="24"/>
      <c r="G176" s="25"/>
      <c r="H176" s="25"/>
      <c r="I176" s="23"/>
      <c r="J176" s="25"/>
      <c r="K176" s="25"/>
      <c r="L176" s="25"/>
      <c r="M176" s="26">
        <f t="shared" ref="M176:N176" si="184">M175</f>
        <v>40</v>
      </c>
      <c r="N176" s="36">
        <f t="shared" si="184"/>
        <v>800</v>
      </c>
      <c r="O176" s="25"/>
      <c r="P176" s="9"/>
      <c r="Q176" s="20">
        <f t="shared" si="3"/>
        <v>20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25"/>
      <c r="B177" s="25"/>
      <c r="C177" s="25"/>
      <c r="D177" s="25"/>
      <c r="E177" s="23"/>
      <c r="F177" s="24"/>
      <c r="G177" s="25"/>
      <c r="H177" s="25"/>
      <c r="I177" s="23"/>
      <c r="J177" s="25"/>
      <c r="K177" s="25"/>
      <c r="L177" s="25"/>
      <c r="M177" s="26">
        <f t="shared" ref="M177:N177" si="185">M176</f>
        <v>40</v>
      </c>
      <c r="N177" s="36">
        <f t="shared" si="185"/>
        <v>800</v>
      </c>
      <c r="O177" s="25"/>
      <c r="P177" s="9"/>
      <c r="Q177" s="20">
        <f t="shared" si="3"/>
        <v>20</v>
      </c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25"/>
      <c r="B178" s="25"/>
      <c r="C178" s="25"/>
      <c r="D178" s="25"/>
      <c r="E178" s="23"/>
      <c r="F178" s="24"/>
      <c r="G178" s="25"/>
      <c r="H178" s="25"/>
      <c r="I178" s="23"/>
      <c r="J178" s="25"/>
      <c r="K178" s="25"/>
      <c r="L178" s="25"/>
      <c r="M178" s="26">
        <f t="shared" ref="M178:N178" si="186">M177</f>
        <v>40</v>
      </c>
      <c r="N178" s="36">
        <f t="shared" si="186"/>
        <v>800</v>
      </c>
      <c r="O178" s="25"/>
      <c r="P178" s="9"/>
      <c r="Q178" s="20">
        <f t="shared" si="3"/>
        <v>20</v>
      </c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25"/>
      <c r="B179" s="25"/>
      <c r="C179" s="25"/>
      <c r="D179" s="25"/>
      <c r="E179" s="23"/>
      <c r="F179" s="24"/>
      <c r="G179" s="25"/>
      <c r="H179" s="25"/>
      <c r="I179" s="23"/>
      <c r="J179" s="25"/>
      <c r="K179" s="25"/>
      <c r="L179" s="25"/>
      <c r="M179" s="26">
        <f t="shared" ref="M179:N179" si="187">M178</f>
        <v>40</v>
      </c>
      <c r="N179" s="36">
        <f t="shared" si="187"/>
        <v>800</v>
      </c>
      <c r="O179" s="25"/>
      <c r="P179" s="9"/>
      <c r="Q179" s="20">
        <f t="shared" si="3"/>
        <v>20</v>
      </c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25"/>
      <c r="B180" s="25"/>
      <c r="C180" s="25"/>
      <c r="D180" s="25"/>
      <c r="E180" s="23"/>
      <c r="F180" s="24"/>
      <c r="G180" s="25"/>
      <c r="H180" s="25"/>
      <c r="I180" s="23"/>
      <c r="J180" s="25"/>
      <c r="K180" s="25"/>
      <c r="L180" s="25"/>
      <c r="M180" s="26">
        <f t="shared" ref="M180:N180" si="188">M179</f>
        <v>40</v>
      </c>
      <c r="N180" s="36">
        <f t="shared" si="188"/>
        <v>800</v>
      </c>
      <c r="O180" s="25"/>
      <c r="P180" s="9"/>
      <c r="Q180" s="20">
        <f t="shared" si="3"/>
        <v>20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25"/>
      <c r="B181" s="25"/>
      <c r="C181" s="25"/>
      <c r="D181" s="25"/>
      <c r="E181" s="23"/>
      <c r="F181" s="24"/>
      <c r="G181" s="25"/>
      <c r="H181" s="25"/>
      <c r="I181" s="23"/>
      <c r="J181" s="25"/>
      <c r="K181" s="25"/>
      <c r="L181" s="25"/>
      <c r="M181" s="26">
        <f t="shared" ref="M181:N181" si="189">M180</f>
        <v>40</v>
      </c>
      <c r="N181" s="36">
        <f t="shared" si="189"/>
        <v>800</v>
      </c>
      <c r="O181" s="25"/>
      <c r="P181" s="9"/>
      <c r="Q181" s="20">
        <f t="shared" si="3"/>
        <v>20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25"/>
      <c r="B182" s="25"/>
      <c r="C182" s="25"/>
      <c r="D182" s="25"/>
      <c r="E182" s="23"/>
      <c r="F182" s="24"/>
      <c r="G182" s="25"/>
      <c r="H182" s="25"/>
      <c r="I182" s="23"/>
      <c r="J182" s="25"/>
      <c r="K182" s="25"/>
      <c r="L182" s="25"/>
      <c r="M182" s="26">
        <f t="shared" ref="M182:N182" si="190">M181</f>
        <v>40</v>
      </c>
      <c r="N182" s="36">
        <f t="shared" si="190"/>
        <v>800</v>
      </c>
      <c r="O182" s="25"/>
      <c r="P182" s="9"/>
      <c r="Q182" s="20">
        <f t="shared" si="3"/>
        <v>20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25"/>
      <c r="B183" s="25"/>
      <c r="C183" s="25"/>
      <c r="D183" s="25"/>
      <c r="E183" s="23"/>
      <c r="F183" s="24"/>
      <c r="G183" s="25"/>
      <c r="H183" s="25"/>
      <c r="I183" s="23"/>
      <c r="J183" s="25"/>
      <c r="K183" s="25"/>
      <c r="L183" s="25"/>
      <c r="M183" s="26">
        <f t="shared" ref="M183:N183" si="191">M182</f>
        <v>40</v>
      </c>
      <c r="N183" s="36">
        <f t="shared" si="191"/>
        <v>800</v>
      </c>
      <c r="O183" s="25"/>
      <c r="P183" s="9"/>
      <c r="Q183" s="20">
        <f t="shared" si="3"/>
        <v>20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25"/>
      <c r="B184" s="25"/>
      <c r="C184" s="25"/>
      <c r="D184" s="25"/>
      <c r="E184" s="23"/>
      <c r="F184" s="24"/>
      <c r="G184" s="25"/>
      <c r="H184" s="25"/>
      <c r="I184" s="23"/>
      <c r="J184" s="25"/>
      <c r="K184" s="25"/>
      <c r="L184" s="25"/>
      <c r="M184" s="26">
        <f t="shared" ref="M184:N184" si="192">M183</f>
        <v>40</v>
      </c>
      <c r="N184" s="36">
        <f t="shared" si="192"/>
        <v>800</v>
      </c>
      <c r="O184" s="25"/>
      <c r="P184" s="9"/>
      <c r="Q184" s="20">
        <f t="shared" si="3"/>
        <v>20</v>
      </c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25"/>
      <c r="B185" s="25"/>
      <c r="C185" s="25"/>
      <c r="D185" s="25"/>
      <c r="E185" s="23"/>
      <c r="F185" s="24"/>
      <c r="G185" s="25"/>
      <c r="H185" s="25"/>
      <c r="I185" s="23"/>
      <c r="J185" s="25"/>
      <c r="K185" s="25"/>
      <c r="L185" s="25"/>
      <c r="M185" s="26">
        <f t="shared" ref="M185:N185" si="193">M184</f>
        <v>40</v>
      </c>
      <c r="N185" s="36">
        <f t="shared" si="193"/>
        <v>800</v>
      </c>
      <c r="O185" s="25"/>
      <c r="P185" s="9"/>
      <c r="Q185" s="20">
        <f t="shared" si="3"/>
        <v>20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25"/>
      <c r="B186" s="25"/>
      <c r="C186" s="25"/>
      <c r="D186" s="25"/>
      <c r="E186" s="23"/>
      <c r="F186" s="24"/>
      <c r="G186" s="25"/>
      <c r="H186" s="25"/>
      <c r="I186" s="23"/>
      <c r="J186" s="25"/>
      <c r="K186" s="25"/>
      <c r="L186" s="25"/>
      <c r="M186" s="26">
        <f t="shared" ref="M186:N186" si="194">M185</f>
        <v>40</v>
      </c>
      <c r="N186" s="36">
        <f t="shared" si="194"/>
        <v>800</v>
      </c>
      <c r="O186" s="25"/>
      <c r="P186" s="9"/>
      <c r="Q186" s="20">
        <f t="shared" si="3"/>
        <v>20</v>
      </c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25"/>
      <c r="B187" s="25"/>
      <c r="C187" s="25"/>
      <c r="D187" s="25"/>
      <c r="E187" s="23"/>
      <c r="F187" s="24"/>
      <c r="G187" s="25"/>
      <c r="H187" s="25"/>
      <c r="I187" s="23"/>
      <c r="J187" s="25"/>
      <c r="K187" s="25"/>
      <c r="L187" s="25"/>
      <c r="M187" s="26">
        <f t="shared" ref="M187:N187" si="195">M186</f>
        <v>40</v>
      </c>
      <c r="N187" s="36">
        <f t="shared" si="195"/>
        <v>800</v>
      </c>
      <c r="O187" s="25"/>
      <c r="P187" s="9"/>
      <c r="Q187" s="20">
        <f t="shared" si="3"/>
        <v>20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25"/>
      <c r="B188" s="25"/>
      <c r="C188" s="25"/>
      <c r="D188" s="25"/>
      <c r="E188" s="23"/>
      <c r="F188" s="24"/>
      <c r="G188" s="25"/>
      <c r="H188" s="25"/>
      <c r="I188" s="23"/>
      <c r="J188" s="25"/>
      <c r="K188" s="25"/>
      <c r="L188" s="25"/>
      <c r="M188" s="26">
        <f t="shared" ref="M188:N188" si="196">M187</f>
        <v>40</v>
      </c>
      <c r="N188" s="36">
        <f t="shared" si="196"/>
        <v>800</v>
      </c>
      <c r="O188" s="25"/>
      <c r="P188" s="9"/>
      <c r="Q188" s="20">
        <f t="shared" si="3"/>
        <v>20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25"/>
      <c r="B189" s="25"/>
      <c r="C189" s="25"/>
      <c r="D189" s="25"/>
      <c r="E189" s="23"/>
      <c r="F189" s="24"/>
      <c r="G189" s="25"/>
      <c r="H189" s="25"/>
      <c r="I189" s="23"/>
      <c r="J189" s="25"/>
      <c r="K189" s="25"/>
      <c r="L189" s="25"/>
      <c r="M189" s="26">
        <f t="shared" ref="M189:N189" si="197">M188</f>
        <v>40</v>
      </c>
      <c r="N189" s="36">
        <f t="shared" si="197"/>
        <v>800</v>
      </c>
      <c r="O189" s="25"/>
      <c r="P189" s="9"/>
      <c r="Q189" s="20">
        <f t="shared" si="3"/>
        <v>20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25"/>
      <c r="B190" s="25"/>
      <c r="C190" s="25"/>
      <c r="D190" s="25"/>
      <c r="E190" s="23"/>
      <c r="F190" s="24"/>
      <c r="G190" s="25"/>
      <c r="H190" s="25"/>
      <c r="I190" s="23"/>
      <c r="J190" s="25"/>
      <c r="K190" s="25"/>
      <c r="L190" s="25"/>
      <c r="M190" s="26">
        <f t="shared" ref="M190:N190" si="198">M189</f>
        <v>40</v>
      </c>
      <c r="N190" s="36">
        <f t="shared" si="198"/>
        <v>800</v>
      </c>
      <c r="O190" s="25"/>
      <c r="P190" s="9"/>
      <c r="Q190" s="20">
        <f t="shared" si="3"/>
        <v>20</v>
      </c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25"/>
      <c r="B191" s="25"/>
      <c r="C191" s="25"/>
      <c r="D191" s="25"/>
      <c r="E191" s="23"/>
      <c r="F191" s="24"/>
      <c r="G191" s="25"/>
      <c r="H191" s="25"/>
      <c r="I191" s="23"/>
      <c r="J191" s="25"/>
      <c r="K191" s="25"/>
      <c r="L191" s="25"/>
      <c r="M191" s="26">
        <f t="shared" ref="M191:N191" si="199">M190</f>
        <v>40</v>
      </c>
      <c r="N191" s="36">
        <f t="shared" si="199"/>
        <v>800</v>
      </c>
      <c r="O191" s="25"/>
      <c r="P191" s="9"/>
      <c r="Q191" s="20">
        <f t="shared" si="3"/>
        <v>20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25"/>
      <c r="B192" s="25"/>
      <c r="C192" s="25"/>
      <c r="D192" s="25"/>
      <c r="E192" s="23"/>
      <c r="F192" s="24"/>
      <c r="G192" s="25"/>
      <c r="H192" s="25"/>
      <c r="I192" s="23"/>
      <c r="J192" s="25"/>
      <c r="K192" s="25"/>
      <c r="L192" s="25"/>
      <c r="M192" s="26">
        <f t="shared" ref="M192:N192" si="200">M191</f>
        <v>40</v>
      </c>
      <c r="N192" s="36">
        <f t="shared" si="200"/>
        <v>800</v>
      </c>
      <c r="O192" s="25"/>
      <c r="P192" s="9"/>
      <c r="Q192" s="20">
        <f t="shared" si="3"/>
        <v>20</v>
      </c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25"/>
      <c r="B193" s="25"/>
      <c r="C193" s="25"/>
      <c r="D193" s="25"/>
      <c r="E193" s="23"/>
      <c r="F193" s="24"/>
      <c r="G193" s="25"/>
      <c r="H193" s="25"/>
      <c r="I193" s="23"/>
      <c r="J193" s="25"/>
      <c r="K193" s="25"/>
      <c r="L193" s="25"/>
      <c r="M193" s="26">
        <f t="shared" ref="M193:N193" si="201">M192</f>
        <v>40</v>
      </c>
      <c r="N193" s="36">
        <f t="shared" si="201"/>
        <v>800</v>
      </c>
      <c r="O193" s="25"/>
      <c r="P193" s="9"/>
      <c r="Q193" s="20">
        <f t="shared" si="3"/>
        <v>20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25"/>
      <c r="B194" s="25"/>
      <c r="C194" s="25"/>
      <c r="D194" s="25"/>
      <c r="E194" s="23"/>
      <c r="F194" s="24"/>
      <c r="G194" s="25"/>
      <c r="H194" s="25"/>
      <c r="I194" s="23"/>
      <c r="J194" s="25"/>
      <c r="K194" s="25"/>
      <c r="L194" s="25"/>
      <c r="M194" s="26">
        <f t="shared" ref="M194:N194" si="202">M193</f>
        <v>40</v>
      </c>
      <c r="N194" s="36">
        <f t="shared" si="202"/>
        <v>800</v>
      </c>
      <c r="O194" s="25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25"/>
      <c r="B195" s="25"/>
      <c r="C195" s="25"/>
      <c r="D195" s="25"/>
      <c r="E195" s="23"/>
      <c r="F195" s="24"/>
      <c r="G195" s="25"/>
      <c r="H195" s="25"/>
      <c r="I195" s="23"/>
      <c r="J195" s="25"/>
      <c r="K195" s="25"/>
      <c r="L195" s="25"/>
      <c r="M195" s="26">
        <f t="shared" ref="M195:N195" si="203">M194</f>
        <v>40</v>
      </c>
      <c r="N195" s="36">
        <f t="shared" si="203"/>
        <v>800</v>
      </c>
      <c r="O195" s="25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25"/>
      <c r="B196" s="25"/>
      <c r="C196" s="25"/>
      <c r="D196" s="25"/>
      <c r="E196" s="23"/>
      <c r="F196" s="24"/>
      <c r="G196" s="25"/>
      <c r="H196" s="25"/>
      <c r="I196" s="23"/>
      <c r="J196" s="25"/>
      <c r="K196" s="25"/>
      <c r="L196" s="25"/>
      <c r="M196" s="26">
        <f t="shared" ref="M196:N196" si="204">M195</f>
        <v>40</v>
      </c>
      <c r="N196" s="36">
        <f t="shared" si="204"/>
        <v>800</v>
      </c>
      <c r="O196" s="25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25"/>
      <c r="B197" s="25"/>
      <c r="C197" s="25"/>
      <c r="D197" s="25"/>
      <c r="E197" s="23"/>
      <c r="F197" s="24"/>
      <c r="G197" s="25"/>
      <c r="H197" s="25"/>
      <c r="I197" s="23"/>
      <c r="J197" s="25"/>
      <c r="K197" s="25"/>
      <c r="L197" s="25"/>
      <c r="M197" s="26">
        <f t="shared" ref="M197:N197" si="205">M196</f>
        <v>40</v>
      </c>
      <c r="N197" s="36">
        <f t="shared" si="205"/>
        <v>800</v>
      </c>
      <c r="O197" s="2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25"/>
      <c r="B198" s="25"/>
      <c r="C198" s="25"/>
      <c r="D198" s="25"/>
      <c r="E198" s="23"/>
      <c r="F198" s="24"/>
      <c r="G198" s="25"/>
      <c r="H198" s="25"/>
      <c r="I198" s="23"/>
      <c r="J198" s="25"/>
      <c r="K198" s="25"/>
      <c r="L198" s="25"/>
      <c r="M198" s="26">
        <f t="shared" ref="M198:N198" si="206">M197</f>
        <v>40</v>
      </c>
      <c r="N198" s="36">
        <f t="shared" si="206"/>
        <v>800</v>
      </c>
      <c r="O198" s="25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25"/>
      <c r="B199" s="25"/>
      <c r="C199" s="25"/>
      <c r="D199" s="25"/>
      <c r="E199" s="23"/>
      <c r="F199" s="24"/>
      <c r="G199" s="25"/>
      <c r="H199" s="25"/>
      <c r="I199" s="23"/>
      <c r="J199" s="25"/>
      <c r="K199" s="25"/>
      <c r="L199" s="25"/>
      <c r="M199" s="26">
        <f t="shared" ref="M199:N199" si="207">M198</f>
        <v>40</v>
      </c>
      <c r="N199" s="36">
        <f t="shared" si="207"/>
        <v>800</v>
      </c>
      <c r="O199" s="25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25"/>
      <c r="B200" s="25"/>
      <c r="C200" s="25"/>
      <c r="D200" s="25"/>
      <c r="E200" s="23"/>
      <c r="F200" s="24"/>
      <c r="G200" s="25"/>
      <c r="H200" s="25"/>
      <c r="I200" s="23"/>
      <c r="J200" s="25"/>
      <c r="K200" s="25"/>
      <c r="L200" s="25"/>
      <c r="M200" s="26">
        <f t="shared" ref="M200:N200" si="208">M199</f>
        <v>40</v>
      </c>
      <c r="N200" s="36">
        <f t="shared" si="208"/>
        <v>800</v>
      </c>
      <c r="O200" s="2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25"/>
      <c r="B201" s="25"/>
      <c r="C201" s="25"/>
      <c r="D201" s="25"/>
      <c r="E201" s="23"/>
      <c r="F201" s="24"/>
      <c r="G201" s="25"/>
      <c r="H201" s="25"/>
      <c r="I201" s="23"/>
      <c r="J201" s="25"/>
      <c r="K201" s="25"/>
      <c r="L201" s="25"/>
      <c r="M201" s="26">
        <f t="shared" ref="M201:N201" si="209">M200</f>
        <v>40</v>
      </c>
      <c r="N201" s="36">
        <f t="shared" si="209"/>
        <v>800</v>
      </c>
      <c r="O201" s="25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25"/>
      <c r="B202" s="25"/>
      <c r="C202" s="25"/>
      <c r="D202" s="25"/>
      <c r="E202" s="23"/>
      <c r="F202" s="24"/>
      <c r="G202" s="25"/>
      <c r="H202" s="25"/>
      <c r="I202" s="23"/>
      <c r="J202" s="25"/>
      <c r="K202" s="25"/>
      <c r="L202" s="25"/>
      <c r="M202" s="26">
        <f t="shared" ref="M202:N202" si="210">M201</f>
        <v>40</v>
      </c>
      <c r="N202" s="36">
        <f t="shared" si="210"/>
        <v>800</v>
      </c>
      <c r="O202" s="25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25"/>
      <c r="B203" s="25"/>
      <c r="C203" s="25"/>
      <c r="D203" s="25"/>
      <c r="E203" s="23"/>
      <c r="F203" s="24"/>
      <c r="G203" s="25"/>
      <c r="H203" s="25"/>
      <c r="I203" s="23"/>
      <c r="J203" s="25"/>
      <c r="K203" s="25"/>
      <c r="L203" s="25"/>
      <c r="M203" s="26">
        <f t="shared" ref="M203:N203" si="211">M202</f>
        <v>40</v>
      </c>
      <c r="N203" s="36">
        <f t="shared" si="211"/>
        <v>800</v>
      </c>
      <c r="O203" s="25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25"/>
      <c r="B204" s="25"/>
      <c r="C204" s="25"/>
      <c r="D204" s="25"/>
      <c r="E204" s="23"/>
      <c r="F204" s="24"/>
      <c r="G204" s="25"/>
      <c r="H204" s="25"/>
      <c r="I204" s="23"/>
      <c r="J204" s="25"/>
      <c r="K204" s="25"/>
      <c r="L204" s="25"/>
      <c r="M204" s="26">
        <f t="shared" ref="M204:N204" si="212">M203</f>
        <v>40</v>
      </c>
      <c r="N204" s="36">
        <f t="shared" si="212"/>
        <v>800</v>
      </c>
      <c r="O204" s="25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25"/>
      <c r="B205" s="25"/>
      <c r="C205" s="25"/>
      <c r="D205" s="25"/>
      <c r="E205" s="23"/>
      <c r="F205" s="24"/>
      <c r="G205" s="25"/>
      <c r="H205" s="25"/>
      <c r="I205" s="23"/>
      <c r="J205" s="25"/>
      <c r="K205" s="25"/>
      <c r="L205" s="25"/>
      <c r="M205" s="26">
        <f t="shared" ref="M205:N205" si="213">M204</f>
        <v>40</v>
      </c>
      <c r="N205" s="36">
        <f t="shared" si="213"/>
        <v>800</v>
      </c>
      <c r="O205" s="25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25"/>
      <c r="B206" s="25"/>
      <c r="C206" s="25"/>
      <c r="D206" s="25"/>
      <c r="E206" s="23"/>
      <c r="F206" s="24"/>
      <c r="G206" s="25"/>
      <c r="H206" s="25"/>
      <c r="I206" s="23"/>
      <c r="J206" s="25"/>
      <c r="K206" s="25"/>
      <c r="L206" s="25"/>
      <c r="M206" s="26">
        <f t="shared" ref="M206:N206" si="214">M205</f>
        <v>40</v>
      </c>
      <c r="N206" s="36">
        <f t="shared" si="214"/>
        <v>800</v>
      </c>
      <c r="O206" s="25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25"/>
      <c r="B207" s="25"/>
      <c r="C207" s="25"/>
      <c r="D207" s="25"/>
      <c r="E207" s="23"/>
      <c r="F207" s="24"/>
      <c r="G207" s="25"/>
      <c r="H207" s="25"/>
      <c r="I207" s="23"/>
      <c r="J207" s="25"/>
      <c r="K207" s="25"/>
      <c r="L207" s="25"/>
      <c r="M207" s="26">
        <f t="shared" ref="M207:N207" si="215">M206</f>
        <v>40</v>
      </c>
      <c r="N207" s="36">
        <f t="shared" si="215"/>
        <v>800</v>
      </c>
      <c r="O207" s="25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25"/>
      <c r="B208" s="25"/>
      <c r="C208" s="25"/>
      <c r="D208" s="25"/>
      <c r="E208" s="23"/>
      <c r="F208" s="24"/>
      <c r="G208" s="25"/>
      <c r="H208" s="25"/>
      <c r="I208" s="23"/>
      <c r="J208" s="25"/>
      <c r="K208" s="25"/>
      <c r="L208" s="25"/>
      <c r="M208" s="26">
        <f t="shared" ref="M208:N208" si="216">M207</f>
        <v>40</v>
      </c>
      <c r="N208" s="36">
        <f t="shared" si="216"/>
        <v>800</v>
      </c>
      <c r="O208" s="25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25"/>
      <c r="B209" s="25"/>
      <c r="C209" s="25"/>
      <c r="D209" s="25"/>
      <c r="E209" s="23"/>
      <c r="F209" s="24"/>
      <c r="G209" s="25"/>
      <c r="H209" s="25"/>
      <c r="I209" s="23"/>
      <c r="J209" s="25"/>
      <c r="K209" s="25"/>
      <c r="L209" s="25"/>
      <c r="M209" s="26">
        <f t="shared" ref="M209:N209" si="217">M208</f>
        <v>40</v>
      </c>
      <c r="N209" s="36">
        <f t="shared" si="217"/>
        <v>800</v>
      </c>
      <c r="O209" s="2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25"/>
      <c r="B210" s="25"/>
      <c r="C210" s="25"/>
      <c r="D210" s="25"/>
      <c r="E210" s="23"/>
      <c r="F210" s="24"/>
      <c r="G210" s="25"/>
      <c r="H210" s="25"/>
      <c r="I210" s="23"/>
      <c r="J210" s="25"/>
      <c r="K210" s="25"/>
      <c r="L210" s="25"/>
      <c r="M210" s="26">
        <f t="shared" ref="M210:N210" si="218">M209</f>
        <v>40</v>
      </c>
      <c r="N210" s="36">
        <f t="shared" si="218"/>
        <v>800</v>
      </c>
      <c r="O210" s="25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25"/>
      <c r="B211" s="25"/>
      <c r="C211" s="25"/>
      <c r="D211" s="25"/>
      <c r="E211" s="23"/>
      <c r="F211" s="24"/>
      <c r="G211" s="25"/>
      <c r="H211" s="25"/>
      <c r="I211" s="23"/>
      <c r="J211" s="25"/>
      <c r="K211" s="25"/>
      <c r="L211" s="25"/>
      <c r="M211" s="26">
        <f t="shared" ref="M211:N211" si="219">M210</f>
        <v>40</v>
      </c>
      <c r="N211" s="36">
        <f t="shared" si="219"/>
        <v>800</v>
      </c>
      <c r="O211" s="25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25"/>
      <c r="B212" s="25"/>
      <c r="C212" s="25"/>
      <c r="D212" s="25"/>
      <c r="E212" s="23"/>
      <c r="F212" s="24"/>
      <c r="G212" s="25"/>
      <c r="H212" s="25"/>
      <c r="I212" s="23"/>
      <c r="J212" s="25"/>
      <c r="K212" s="25"/>
      <c r="L212" s="25"/>
      <c r="M212" s="26">
        <f t="shared" ref="M212:N212" si="220">M211</f>
        <v>40</v>
      </c>
      <c r="N212" s="36">
        <f t="shared" si="220"/>
        <v>800</v>
      </c>
      <c r="O212" s="25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25"/>
      <c r="B213" s="25"/>
      <c r="C213" s="25"/>
      <c r="D213" s="25"/>
      <c r="E213" s="23"/>
      <c r="F213" s="24"/>
      <c r="G213" s="25"/>
      <c r="H213" s="25"/>
      <c r="I213" s="23"/>
      <c r="J213" s="25"/>
      <c r="K213" s="25"/>
      <c r="L213" s="25"/>
      <c r="M213" s="26">
        <f t="shared" ref="M213:N213" si="221">M212</f>
        <v>40</v>
      </c>
      <c r="N213" s="36">
        <f t="shared" si="221"/>
        <v>800</v>
      </c>
      <c r="O213" s="25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25"/>
      <c r="B214" s="25"/>
      <c r="C214" s="25"/>
      <c r="D214" s="25"/>
      <c r="E214" s="23"/>
      <c r="F214" s="24"/>
      <c r="G214" s="25"/>
      <c r="H214" s="25"/>
      <c r="I214" s="23"/>
      <c r="J214" s="25"/>
      <c r="K214" s="25"/>
      <c r="L214" s="25"/>
      <c r="M214" s="26">
        <f t="shared" ref="M214:N214" si="222">M213</f>
        <v>40</v>
      </c>
      <c r="N214" s="36">
        <f t="shared" si="222"/>
        <v>800</v>
      </c>
      <c r="O214" s="25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25"/>
      <c r="B215" s="25"/>
      <c r="C215" s="25"/>
      <c r="D215" s="25"/>
      <c r="E215" s="23"/>
      <c r="F215" s="24"/>
      <c r="G215" s="25"/>
      <c r="H215" s="25"/>
      <c r="I215" s="23"/>
      <c r="J215" s="25"/>
      <c r="K215" s="25"/>
      <c r="L215" s="25"/>
      <c r="M215" s="26">
        <f t="shared" ref="M215:N215" si="223">M214</f>
        <v>40</v>
      </c>
      <c r="N215" s="36">
        <f t="shared" si="223"/>
        <v>800</v>
      </c>
      <c r="O215" s="2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25"/>
      <c r="B216" s="25"/>
      <c r="C216" s="25"/>
      <c r="D216" s="25"/>
      <c r="E216" s="23"/>
      <c r="F216" s="24"/>
      <c r="G216" s="25"/>
      <c r="H216" s="25"/>
      <c r="I216" s="23"/>
      <c r="J216" s="25"/>
      <c r="K216" s="25"/>
      <c r="L216" s="25"/>
      <c r="M216" s="26">
        <f t="shared" ref="M216:N216" si="224">M215</f>
        <v>40</v>
      </c>
      <c r="N216" s="36">
        <f t="shared" si="224"/>
        <v>800</v>
      </c>
      <c r="O216" s="25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25"/>
      <c r="B217" s="25"/>
      <c r="C217" s="25"/>
      <c r="D217" s="25"/>
      <c r="E217" s="23"/>
      <c r="F217" s="24"/>
      <c r="G217" s="25"/>
      <c r="H217" s="25"/>
      <c r="I217" s="23"/>
      <c r="J217" s="25"/>
      <c r="K217" s="25"/>
      <c r="L217" s="25"/>
      <c r="M217" s="26">
        <f t="shared" ref="M217:N217" si="225">M216</f>
        <v>40</v>
      </c>
      <c r="N217" s="36">
        <f t="shared" si="225"/>
        <v>800</v>
      </c>
      <c r="O217" s="25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25"/>
      <c r="B218" s="25"/>
      <c r="C218" s="25"/>
      <c r="D218" s="25"/>
      <c r="E218" s="23"/>
      <c r="F218" s="24"/>
      <c r="G218" s="25"/>
      <c r="H218" s="25"/>
      <c r="I218" s="23"/>
      <c r="J218" s="25"/>
      <c r="K218" s="25"/>
      <c r="L218" s="25"/>
      <c r="M218" s="26">
        <f t="shared" ref="M218:N218" si="226">M217</f>
        <v>40</v>
      </c>
      <c r="N218" s="36">
        <f t="shared" si="226"/>
        <v>800</v>
      </c>
      <c r="O218" s="25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25"/>
      <c r="B219" s="25"/>
      <c r="C219" s="25"/>
      <c r="D219" s="25"/>
      <c r="E219" s="23"/>
      <c r="F219" s="24"/>
      <c r="G219" s="25"/>
      <c r="H219" s="25"/>
      <c r="I219" s="23"/>
      <c r="J219" s="25"/>
      <c r="K219" s="25"/>
      <c r="L219" s="25"/>
      <c r="M219" s="26">
        <f t="shared" ref="M219:N219" si="227">M218</f>
        <v>40</v>
      </c>
      <c r="N219" s="36">
        <f t="shared" si="227"/>
        <v>800</v>
      </c>
      <c r="O219" s="25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25"/>
      <c r="B220" s="25"/>
      <c r="C220" s="25"/>
      <c r="D220" s="25"/>
      <c r="E220" s="23"/>
      <c r="F220" s="24"/>
      <c r="G220" s="25"/>
      <c r="H220" s="25"/>
      <c r="I220" s="23"/>
      <c r="J220" s="25"/>
      <c r="K220" s="25"/>
      <c r="L220" s="25"/>
      <c r="M220" s="26">
        <f t="shared" ref="M220:N220" si="228">M219</f>
        <v>40</v>
      </c>
      <c r="N220" s="36">
        <f t="shared" si="228"/>
        <v>800</v>
      </c>
      <c r="O220" s="25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25"/>
      <c r="B221" s="25"/>
      <c r="C221" s="25"/>
      <c r="D221" s="25"/>
      <c r="E221" s="23"/>
      <c r="F221" s="24"/>
      <c r="G221" s="25"/>
      <c r="H221" s="25"/>
      <c r="I221" s="23"/>
      <c r="J221" s="25"/>
      <c r="K221" s="25"/>
      <c r="L221" s="25"/>
      <c r="M221" s="26">
        <f t="shared" ref="M221:N221" si="229">M220</f>
        <v>40</v>
      </c>
      <c r="N221" s="36">
        <f t="shared" si="229"/>
        <v>800</v>
      </c>
      <c r="O221" s="25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25"/>
      <c r="B222" s="25"/>
      <c r="C222" s="25"/>
      <c r="D222" s="25"/>
      <c r="E222" s="23"/>
      <c r="F222" s="24"/>
      <c r="G222" s="25"/>
      <c r="H222" s="25"/>
      <c r="I222" s="23"/>
      <c r="J222" s="25"/>
      <c r="K222" s="25"/>
      <c r="L222" s="25"/>
      <c r="M222" s="26">
        <f t="shared" ref="M222:N222" si="230">M221</f>
        <v>40</v>
      </c>
      <c r="N222" s="36">
        <f t="shared" si="230"/>
        <v>800</v>
      </c>
      <c r="O222" s="25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25"/>
      <c r="B223" s="25"/>
      <c r="C223" s="25"/>
      <c r="D223" s="25"/>
      <c r="E223" s="23"/>
      <c r="F223" s="24"/>
      <c r="G223" s="25"/>
      <c r="H223" s="25"/>
      <c r="I223" s="23"/>
      <c r="J223" s="25"/>
      <c r="K223" s="25"/>
      <c r="L223" s="25"/>
      <c r="M223" s="26">
        <f t="shared" ref="M223:N223" si="231">M222</f>
        <v>40</v>
      </c>
      <c r="N223" s="36">
        <f t="shared" si="231"/>
        <v>800</v>
      </c>
      <c r="O223" s="25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25"/>
      <c r="B224" s="25"/>
      <c r="C224" s="25"/>
      <c r="D224" s="25"/>
      <c r="E224" s="23"/>
      <c r="F224" s="24"/>
      <c r="G224" s="25"/>
      <c r="H224" s="25"/>
      <c r="I224" s="23"/>
      <c r="J224" s="25"/>
      <c r="K224" s="25"/>
      <c r="L224" s="25"/>
      <c r="M224" s="26">
        <f t="shared" ref="M224:N224" si="232">M223</f>
        <v>40</v>
      </c>
      <c r="N224" s="36">
        <f t="shared" si="232"/>
        <v>800</v>
      </c>
      <c r="O224" s="25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25"/>
      <c r="B225" s="25"/>
      <c r="C225" s="25"/>
      <c r="D225" s="25"/>
      <c r="E225" s="23"/>
      <c r="F225" s="24"/>
      <c r="G225" s="25"/>
      <c r="H225" s="25"/>
      <c r="I225" s="23"/>
      <c r="J225" s="25"/>
      <c r="K225" s="25"/>
      <c r="L225" s="25"/>
      <c r="M225" s="26">
        <f t="shared" ref="M225:N225" si="233">M224</f>
        <v>40</v>
      </c>
      <c r="N225" s="36">
        <f t="shared" si="233"/>
        <v>800</v>
      </c>
      <c r="O225" s="25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25"/>
      <c r="B226" s="25"/>
      <c r="C226" s="25"/>
      <c r="D226" s="25"/>
      <c r="E226" s="23"/>
      <c r="F226" s="24"/>
      <c r="G226" s="25"/>
      <c r="H226" s="25"/>
      <c r="I226" s="23"/>
      <c r="J226" s="25"/>
      <c r="K226" s="25"/>
      <c r="L226" s="25"/>
      <c r="M226" s="26">
        <f t="shared" ref="M226:N226" si="234">M225</f>
        <v>40</v>
      </c>
      <c r="N226" s="36">
        <f t="shared" si="234"/>
        <v>800</v>
      </c>
      <c r="O226" s="25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25"/>
      <c r="B227" s="25"/>
      <c r="C227" s="25"/>
      <c r="D227" s="25"/>
      <c r="E227" s="23"/>
      <c r="F227" s="24"/>
      <c r="G227" s="25"/>
      <c r="H227" s="25"/>
      <c r="I227" s="23"/>
      <c r="J227" s="25"/>
      <c r="K227" s="25"/>
      <c r="L227" s="25"/>
      <c r="M227" s="26">
        <f t="shared" ref="M227:N227" si="235">M226</f>
        <v>40</v>
      </c>
      <c r="N227" s="36">
        <f t="shared" si="235"/>
        <v>800</v>
      </c>
      <c r="O227" s="25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25"/>
      <c r="B228" s="25"/>
      <c r="C228" s="25"/>
      <c r="D228" s="25"/>
      <c r="E228" s="23"/>
      <c r="F228" s="24"/>
      <c r="G228" s="25"/>
      <c r="H228" s="25"/>
      <c r="I228" s="23"/>
      <c r="J228" s="25"/>
      <c r="K228" s="25"/>
      <c r="L228" s="25"/>
      <c r="M228" s="26">
        <f t="shared" ref="M228:N228" si="236">M227</f>
        <v>40</v>
      </c>
      <c r="N228" s="36">
        <f t="shared" si="236"/>
        <v>800</v>
      </c>
      <c r="O228" s="25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25"/>
      <c r="B229" s="25"/>
      <c r="C229" s="25"/>
      <c r="D229" s="25"/>
      <c r="E229" s="23"/>
      <c r="F229" s="24"/>
      <c r="G229" s="25"/>
      <c r="H229" s="25"/>
      <c r="I229" s="23"/>
      <c r="J229" s="25"/>
      <c r="K229" s="25"/>
      <c r="L229" s="25"/>
      <c r="M229" s="26">
        <f t="shared" ref="M229:N229" si="237">M228</f>
        <v>40</v>
      </c>
      <c r="N229" s="36">
        <f t="shared" si="237"/>
        <v>800</v>
      </c>
      <c r="O229" s="25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25"/>
      <c r="B230" s="25"/>
      <c r="C230" s="25"/>
      <c r="D230" s="25"/>
      <c r="E230" s="23"/>
      <c r="F230" s="24"/>
      <c r="G230" s="25"/>
      <c r="H230" s="25"/>
      <c r="I230" s="23"/>
      <c r="J230" s="25"/>
      <c r="K230" s="25"/>
      <c r="L230" s="25"/>
      <c r="M230" s="25"/>
      <c r="N230" s="36">
        <f t="shared" ref="N230:N330" si="238">N229</f>
        <v>800</v>
      </c>
      <c r="O230" s="25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25"/>
      <c r="B231" s="25"/>
      <c r="C231" s="25"/>
      <c r="D231" s="25"/>
      <c r="E231" s="23"/>
      <c r="F231" s="24"/>
      <c r="G231" s="25"/>
      <c r="H231" s="25"/>
      <c r="I231" s="23"/>
      <c r="J231" s="25"/>
      <c r="K231" s="25"/>
      <c r="L231" s="25"/>
      <c r="M231" s="25"/>
      <c r="N231" s="36">
        <f t="shared" si="238"/>
        <v>800</v>
      </c>
      <c r="O231" s="25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25"/>
      <c r="B232" s="25"/>
      <c r="C232" s="25"/>
      <c r="D232" s="25"/>
      <c r="E232" s="23"/>
      <c r="F232" s="24"/>
      <c r="G232" s="25"/>
      <c r="H232" s="25"/>
      <c r="I232" s="23"/>
      <c r="J232" s="25"/>
      <c r="K232" s="25"/>
      <c r="L232" s="25"/>
      <c r="M232" s="25"/>
      <c r="N232" s="36">
        <f t="shared" si="238"/>
        <v>800</v>
      </c>
      <c r="O232" s="25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25"/>
      <c r="B233" s="25"/>
      <c r="C233" s="25"/>
      <c r="D233" s="25"/>
      <c r="E233" s="23"/>
      <c r="F233" s="24"/>
      <c r="G233" s="25"/>
      <c r="H233" s="25"/>
      <c r="I233" s="23"/>
      <c r="J233" s="25"/>
      <c r="K233" s="25"/>
      <c r="L233" s="25"/>
      <c r="M233" s="25"/>
      <c r="N233" s="36">
        <f t="shared" si="238"/>
        <v>800</v>
      </c>
      <c r="O233" s="25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25"/>
      <c r="B234" s="25"/>
      <c r="C234" s="25"/>
      <c r="D234" s="25"/>
      <c r="E234" s="23"/>
      <c r="F234" s="24"/>
      <c r="G234" s="25"/>
      <c r="H234" s="25"/>
      <c r="I234" s="23"/>
      <c r="J234" s="25"/>
      <c r="K234" s="25"/>
      <c r="L234" s="25"/>
      <c r="M234" s="25"/>
      <c r="N234" s="36">
        <f t="shared" si="238"/>
        <v>800</v>
      </c>
      <c r="O234" s="25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25"/>
      <c r="B235" s="25"/>
      <c r="C235" s="25"/>
      <c r="D235" s="25"/>
      <c r="E235" s="23"/>
      <c r="F235" s="24"/>
      <c r="G235" s="25"/>
      <c r="H235" s="25"/>
      <c r="I235" s="23"/>
      <c r="J235" s="25"/>
      <c r="K235" s="25"/>
      <c r="L235" s="25"/>
      <c r="M235" s="25"/>
      <c r="N235" s="36">
        <f t="shared" si="238"/>
        <v>800</v>
      </c>
      <c r="O235" s="25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25"/>
      <c r="B236" s="25"/>
      <c r="C236" s="25"/>
      <c r="D236" s="25"/>
      <c r="E236" s="23"/>
      <c r="F236" s="24"/>
      <c r="G236" s="25"/>
      <c r="H236" s="25"/>
      <c r="I236" s="23"/>
      <c r="J236" s="25"/>
      <c r="K236" s="25"/>
      <c r="L236" s="25"/>
      <c r="M236" s="25"/>
      <c r="N236" s="36">
        <f t="shared" si="238"/>
        <v>800</v>
      </c>
      <c r="O236" s="25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25"/>
      <c r="B237" s="25"/>
      <c r="C237" s="25"/>
      <c r="D237" s="25"/>
      <c r="E237" s="23"/>
      <c r="F237" s="24"/>
      <c r="G237" s="25"/>
      <c r="H237" s="25"/>
      <c r="I237" s="23"/>
      <c r="J237" s="25"/>
      <c r="K237" s="25"/>
      <c r="L237" s="25"/>
      <c r="M237" s="25"/>
      <c r="N237" s="36">
        <f t="shared" si="238"/>
        <v>800</v>
      </c>
      <c r="O237" s="25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25"/>
      <c r="B238" s="25"/>
      <c r="C238" s="25"/>
      <c r="D238" s="25"/>
      <c r="E238" s="23"/>
      <c r="F238" s="24"/>
      <c r="G238" s="25"/>
      <c r="H238" s="25"/>
      <c r="I238" s="23"/>
      <c r="J238" s="25"/>
      <c r="K238" s="25"/>
      <c r="L238" s="25"/>
      <c r="M238" s="25"/>
      <c r="N238" s="36">
        <f t="shared" si="238"/>
        <v>800</v>
      </c>
      <c r="O238" s="25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25"/>
      <c r="B239" s="25"/>
      <c r="C239" s="25"/>
      <c r="D239" s="25"/>
      <c r="E239" s="23"/>
      <c r="F239" s="24"/>
      <c r="G239" s="25"/>
      <c r="H239" s="25"/>
      <c r="I239" s="23"/>
      <c r="J239" s="25"/>
      <c r="K239" s="25"/>
      <c r="L239" s="25"/>
      <c r="M239" s="25"/>
      <c r="N239" s="36">
        <f t="shared" si="238"/>
        <v>800</v>
      </c>
      <c r="O239" s="25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25"/>
      <c r="B240" s="25"/>
      <c r="C240" s="25"/>
      <c r="D240" s="25"/>
      <c r="E240" s="23"/>
      <c r="F240" s="24"/>
      <c r="G240" s="25"/>
      <c r="H240" s="25"/>
      <c r="I240" s="23"/>
      <c r="J240" s="25"/>
      <c r="K240" s="25"/>
      <c r="L240" s="25"/>
      <c r="M240" s="25"/>
      <c r="N240" s="36">
        <f t="shared" si="238"/>
        <v>800</v>
      </c>
      <c r="O240" s="25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25"/>
      <c r="B241" s="25"/>
      <c r="C241" s="25"/>
      <c r="D241" s="25"/>
      <c r="E241" s="23"/>
      <c r="F241" s="24"/>
      <c r="G241" s="25"/>
      <c r="H241" s="25"/>
      <c r="I241" s="23"/>
      <c r="J241" s="25"/>
      <c r="K241" s="25"/>
      <c r="L241" s="25"/>
      <c r="M241" s="25"/>
      <c r="N241" s="36">
        <f t="shared" si="238"/>
        <v>800</v>
      </c>
      <c r="O241" s="25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25"/>
      <c r="B242" s="25"/>
      <c r="C242" s="25"/>
      <c r="D242" s="25"/>
      <c r="E242" s="23"/>
      <c r="F242" s="24"/>
      <c r="G242" s="25"/>
      <c r="H242" s="25"/>
      <c r="I242" s="23"/>
      <c r="J242" s="25"/>
      <c r="K242" s="25"/>
      <c r="L242" s="25"/>
      <c r="M242" s="25"/>
      <c r="N242" s="36">
        <f t="shared" si="238"/>
        <v>800</v>
      </c>
      <c r="O242" s="25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25"/>
      <c r="B243" s="25"/>
      <c r="C243" s="25"/>
      <c r="D243" s="25"/>
      <c r="E243" s="23"/>
      <c r="F243" s="24"/>
      <c r="G243" s="25"/>
      <c r="H243" s="25"/>
      <c r="I243" s="23"/>
      <c r="J243" s="25"/>
      <c r="K243" s="25"/>
      <c r="L243" s="25"/>
      <c r="M243" s="25"/>
      <c r="N243" s="36">
        <f t="shared" si="238"/>
        <v>800</v>
      </c>
      <c r="O243" s="25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25"/>
      <c r="B244" s="25"/>
      <c r="C244" s="25"/>
      <c r="D244" s="25"/>
      <c r="E244" s="23"/>
      <c r="F244" s="24"/>
      <c r="G244" s="25"/>
      <c r="H244" s="25"/>
      <c r="I244" s="23"/>
      <c r="J244" s="25"/>
      <c r="K244" s="25"/>
      <c r="L244" s="25"/>
      <c r="M244" s="25"/>
      <c r="N244" s="36">
        <f t="shared" si="238"/>
        <v>800</v>
      </c>
      <c r="O244" s="25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25"/>
      <c r="B245" s="25"/>
      <c r="C245" s="25"/>
      <c r="D245" s="25"/>
      <c r="E245" s="23"/>
      <c r="F245" s="24"/>
      <c r="G245" s="25"/>
      <c r="H245" s="25"/>
      <c r="I245" s="23"/>
      <c r="J245" s="25"/>
      <c r="K245" s="25"/>
      <c r="L245" s="25"/>
      <c r="M245" s="25"/>
      <c r="N245" s="36">
        <f t="shared" si="238"/>
        <v>800</v>
      </c>
      <c r="O245" s="25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25"/>
      <c r="B246" s="25"/>
      <c r="C246" s="25"/>
      <c r="D246" s="25"/>
      <c r="E246" s="23"/>
      <c r="F246" s="24"/>
      <c r="G246" s="25"/>
      <c r="H246" s="25"/>
      <c r="I246" s="23"/>
      <c r="J246" s="25"/>
      <c r="K246" s="25"/>
      <c r="L246" s="25"/>
      <c r="M246" s="25"/>
      <c r="N246" s="36">
        <f t="shared" si="238"/>
        <v>800</v>
      </c>
      <c r="O246" s="25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25"/>
      <c r="B247" s="25"/>
      <c r="C247" s="25"/>
      <c r="D247" s="25"/>
      <c r="E247" s="23"/>
      <c r="F247" s="24"/>
      <c r="G247" s="25"/>
      <c r="H247" s="25"/>
      <c r="I247" s="23"/>
      <c r="J247" s="25"/>
      <c r="K247" s="25"/>
      <c r="L247" s="25"/>
      <c r="M247" s="25"/>
      <c r="N247" s="36">
        <f t="shared" si="238"/>
        <v>800</v>
      </c>
      <c r="O247" s="25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25"/>
      <c r="B248" s="25"/>
      <c r="C248" s="25"/>
      <c r="D248" s="25"/>
      <c r="E248" s="23"/>
      <c r="F248" s="24"/>
      <c r="G248" s="25"/>
      <c r="H248" s="25"/>
      <c r="I248" s="23"/>
      <c r="J248" s="25"/>
      <c r="K248" s="25"/>
      <c r="L248" s="25"/>
      <c r="M248" s="25"/>
      <c r="N248" s="36">
        <f t="shared" si="238"/>
        <v>800</v>
      </c>
      <c r="O248" s="25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25"/>
      <c r="B249" s="25"/>
      <c r="C249" s="25"/>
      <c r="D249" s="25"/>
      <c r="E249" s="23"/>
      <c r="F249" s="24"/>
      <c r="G249" s="25"/>
      <c r="H249" s="25"/>
      <c r="I249" s="23"/>
      <c r="J249" s="25"/>
      <c r="K249" s="25"/>
      <c r="L249" s="25"/>
      <c r="M249" s="25"/>
      <c r="N249" s="36">
        <f t="shared" si="238"/>
        <v>800</v>
      </c>
      <c r="O249" s="25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25"/>
      <c r="B250" s="25"/>
      <c r="C250" s="25"/>
      <c r="D250" s="25"/>
      <c r="E250" s="23"/>
      <c r="F250" s="24"/>
      <c r="G250" s="25"/>
      <c r="H250" s="25"/>
      <c r="I250" s="23"/>
      <c r="J250" s="25"/>
      <c r="K250" s="25"/>
      <c r="L250" s="25"/>
      <c r="M250" s="25"/>
      <c r="N250" s="36">
        <f t="shared" si="238"/>
        <v>800</v>
      </c>
      <c r="O250" s="25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25"/>
      <c r="B251" s="25"/>
      <c r="C251" s="25"/>
      <c r="D251" s="25"/>
      <c r="E251" s="23"/>
      <c r="F251" s="24"/>
      <c r="G251" s="25"/>
      <c r="H251" s="25"/>
      <c r="I251" s="23"/>
      <c r="J251" s="25"/>
      <c r="K251" s="25"/>
      <c r="L251" s="25"/>
      <c r="M251" s="25"/>
      <c r="N251" s="36">
        <f t="shared" si="238"/>
        <v>800</v>
      </c>
      <c r="O251" s="25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25"/>
      <c r="B252" s="25"/>
      <c r="C252" s="25"/>
      <c r="D252" s="25"/>
      <c r="E252" s="23"/>
      <c r="F252" s="24"/>
      <c r="G252" s="25"/>
      <c r="H252" s="25"/>
      <c r="I252" s="23"/>
      <c r="J252" s="25"/>
      <c r="K252" s="25"/>
      <c r="L252" s="25"/>
      <c r="M252" s="25"/>
      <c r="N252" s="36">
        <f t="shared" si="238"/>
        <v>800</v>
      </c>
      <c r="O252" s="25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25"/>
      <c r="B253" s="25"/>
      <c r="C253" s="25"/>
      <c r="D253" s="25"/>
      <c r="E253" s="23"/>
      <c r="F253" s="24"/>
      <c r="G253" s="25"/>
      <c r="H253" s="25"/>
      <c r="I253" s="23"/>
      <c r="J253" s="25"/>
      <c r="K253" s="25"/>
      <c r="L253" s="25"/>
      <c r="M253" s="25"/>
      <c r="N253" s="36">
        <f t="shared" si="238"/>
        <v>800</v>
      </c>
      <c r="O253" s="25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25"/>
      <c r="B254" s="25"/>
      <c r="C254" s="25"/>
      <c r="D254" s="25"/>
      <c r="E254" s="23"/>
      <c r="F254" s="24"/>
      <c r="G254" s="25"/>
      <c r="H254" s="25"/>
      <c r="I254" s="23"/>
      <c r="J254" s="25"/>
      <c r="K254" s="25"/>
      <c r="L254" s="25"/>
      <c r="M254" s="25"/>
      <c r="N254" s="36">
        <f t="shared" si="238"/>
        <v>800</v>
      </c>
      <c r="O254" s="25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25"/>
      <c r="B255" s="25"/>
      <c r="C255" s="25"/>
      <c r="D255" s="25"/>
      <c r="E255" s="23"/>
      <c r="F255" s="24"/>
      <c r="G255" s="25"/>
      <c r="H255" s="25"/>
      <c r="I255" s="23"/>
      <c r="J255" s="25"/>
      <c r="K255" s="25"/>
      <c r="L255" s="25"/>
      <c r="M255" s="25"/>
      <c r="N255" s="36">
        <f t="shared" si="238"/>
        <v>800</v>
      </c>
      <c r="O255" s="25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25"/>
      <c r="B256" s="25"/>
      <c r="C256" s="25"/>
      <c r="D256" s="25"/>
      <c r="E256" s="23"/>
      <c r="F256" s="24"/>
      <c r="G256" s="25"/>
      <c r="H256" s="25"/>
      <c r="I256" s="23"/>
      <c r="J256" s="25"/>
      <c r="K256" s="25"/>
      <c r="L256" s="25"/>
      <c r="M256" s="25"/>
      <c r="N256" s="36">
        <f t="shared" si="238"/>
        <v>800</v>
      </c>
      <c r="O256" s="25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25"/>
      <c r="B257" s="25"/>
      <c r="C257" s="25"/>
      <c r="D257" s="25"/>
      <c r="E257" s="23"/>
      <c r="F257" s="24"/>
      <c r="G257" s="25"/>
      <c r="H257" s="25"/>
      <c r="I257" s="23"/>
      <c r="J257" s="25"/>
      <c r="K257" s="25"/>
      <c r="L257" s="25"/>
      <c r="M257" s="25"/>
      <c r="N257" s="36">
        <f t="shared" si="238"/>
        <v>800</v>
      </c>
      <c r="O257" s="25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25"/>
      <c r="B258" s="25"/>
      <c r="C258" s="25"/>
      <c r="D258" s="25"/>
      <c r="E258" s="23"/>
      <c r="F258" s="24"/>
      <c r="G258" s="25"/>
      <c r="H258" s="25"/>
      <c r="I258" s="23"/>
      <c r="J258" s="25"/>
      <c r="K258" s="25"/>
      <c r="L258" s="25"/>
      <c r="M258" s="25"/>
      <c r="N258" s="36">
        <f t="shared" si="238"/>
        <v>800</v>
      </c>
      <c r="O258" s="25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25"/>
      <c r="B259" s="25"/>
      <c r="C259" s="25"/>
      <c r="D259" s="25"/>
      <c r="E259" s="23"/>
      <c r="F259" s="24"/>
      <c r="G259" s="25"/>
      <c r="H259" s="25"/>
      <c r="I259" s="23"/>
      <c r="J259" s="25"/>
      <c r="K259" s="25"/>
      <c r="L259" s="25"/>
      <c r="M259" s="25"/>
      <c r="N259" s="36">
        <f t="shared" si="238"/>
        <v>800</v>
      </c>
      <c r="O259" s="25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25"/>
      <c r="B260" s="25"/>
      <c r="C260" s="25"/>
      <c r="D260" s="25"/>
      <c r="E260" s="23"/>
      <c r="F260" s="24"/>
      <c r="G260" s="25"/>
      <c r="H260" s="25"/>
      <c r="I260" s="23"/>
      <c r="J260" s="25"/>
      <c r="K260" s="25"/>
      <c r="L260" s="25"/>
      <c r="M260" s="25"/>
      <c r="N260" s="36">
        <f t="shared" si="238"/>
        <v>800</v>
      </c>
      <c r="O260" s="25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25"/>
      <c r="B261" s="25"/>
      <c r="C261" s="25"/>
      <c r="D261" s="25"/>
      <c r="E261" s="23"/>
      <c r="F261" s="24"/>
      <c r="G261" s="25"/>
      <c r="H261" s="25"/>
      <c r="I261" s="23"/>
      <c r="J261" s="25"/>
      <c r="K261" s="25"/>
      <c r="L261" s="25"/>
      <c r="M261" s="25"/>
      <c r="N261" s="36">
        <f t="shared" si="238"/>
        <v>800</v>
      </c>
      <c r="O261" s="25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25"/>
      <c r="B262" s="25"/>
      <c r="C262" s="25"/>
      <c r="D262" s="25"/>
      <c r="E262" s="23"/>
      <c r="F262" s="24"/>
      <c r="G262" s="25"/>
      <c r="H262" s="25"/>
      <c r="I262" s="23"/>
      <c r="J262" s="25"/>
      <c r="K262" s="25"/>
      <c r="L262" s="25"/>
      <c r="M262" s="25"/>
      <c r="N262" s="36">
        <f t="shared" si="238"/>
        <v>800</v>
      </c>
      <c r="O262" s="25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25"/>
      <c r="B263" s="25"/>
      <c r="C263" s="25"/>
      <c r="D263" s="25"/>
      <c r="E263" s="23"/>
      <c r="F263" s="24"/>
      <c r="G263" s="25"/>
      <c r="H263" s="25"/>
      <c r="I263" s="23"/>
      <c r="J263" s="25"/>
      <c r="K263" s="25"/>
      <c r="L263" s="25"/>
      <c r="M263" s="25"/>
      <c r="N263" s="36">
        <f t="shared" si="238"/>
        <v>800</v>
      </c>
      <c r="O263" s="25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25"/>
      <c r="B264" s="25"/>
      <c r="C264" s="25"/>
      <c r="D264" s="25"/>
      <c r="E264" s="23"/>
      <c r="F264" s="24"/>
      <c r="G264" s="25"/>
      <c r="H264" s="25"/>
      <c r="I264" s="23"/>
      <c r="J264" s="25"/>
      <c r="K264" s="25"/>
      <c r="L264" s="25"/>
      <c r="M264" s="25"/>
      <c r="N264" s="36">
        <f t="shared" si="238"/>
        <v>800</v>
      </c>
      <c r="O264" s="25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25"/>
      <c r="B265" s="25"/>
      <c r="C265" s="25"/>
      <c r="D265" s="25"/>
      <c r="E265" s="23"/>
      <c r="F265" s="24"/>
      <c r="G265" s="25"/>
      <c r="H265" s="25"/>
      <c r="I265" s="23"/>
      <c r="J265" s="25"/>
      <c r="K265" s="25"/>
      <c r="L265" s="25"/>
      <c r="M265" s="25"/>
      <c r="N265" s="36">
        <f t="shared" si="238"/>
        <v>800</v>
      </c>
      <c r="O265" s="25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25"/>
      <c r="B266" s="25"/>
      <c r="C266" s="25"/>
      <c r="D266" s="25"/>
      <c r="E266" s="23"/>
      <c r="F266" s="24"/>
      <c r="G266" s="25"/>
      <c r="H266" s="25"/>
      <c r="I266" s="23"/>
      <c r="J266" s="25"/>
      <c r="K266" s="25"/>
      <c r="L266" s="25"/>
      <c r="M266" s="25"/>
      <c r="N266" s="36">
        <f t="shared" si="238"/>
        <v>800</v>
      </c>
      <c r="O266" s="25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25"/>
      <c r="B267" s="25"/>
      <c r="C267" s="25"/>
      <c r="D267" s="25"/>
      <c r="E267" s="23"/>
      <c r="F267" s="24"/>
      <c r="G267" s="25"/>
      <c r="H267" s="25"/>
      <c r="I267" s="23"/>
      <c r="J267" s="25"/>
      <c r="K267" s="25"/>
      <c r="L267" s="25"/>
      <c r="M267" s="25"/>
      <c r="N267" s="36">
        <f t="shared" si="238"/>
        <v>800</v>
      </c>
      <c r="O267" s="25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25"/>
      <c r="B268" s="25"/>
      <c r="C268" s="25"/>
      <c r="D268" s="25"/>
      <c r="E268" s="23"/>
      <c r="F268" s="24"/>
      <c r="G268" s="25"/>
      <c r="H268" s="25"/>
      <c r="I268" s="23"/>
      <c r="J268" s="25"/>
      <c r="K268" s="25"/>
      <c r="L268" s="25"/>
      <c r="M268" s="25"/>
      <c r="N268" s="36">
        <f t="shared" si="238"/>
        <v>800</v>
      </c>
      <c r="O268" s="25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25"/>
      <c r="B269" s="25"/>
      <c r="C269" s="25"/>
      <c r="D269" s="25"/>
      <c r="E269" s="23"/>
      <c r="F269" s="24"/>
      <c r="G269" s="25"/>
      <c r="H269" s="25"/>
      <c r="I269" s="23"/>
      <c r="J269" s="25"/>
      <c r="K269" s="25"/>
      <c r="L269" s="25"/>
      <c r="M269" s="25"/>
      <c r="N269" s="36">
        <f t="shared" si="238"/>
        <v>800</v>
      </c>
      <c r="O269" s="25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25"/>
      <c r="B270" s="25"/>
      <c r="C270" s="25"/>
      <c r="D270" s="25"/>
      <c r="E270" s="23"/>
      <c r="F270" s="24"/>
      <c r="G270" s="25"/>
      <c r="H270" s="25"/>
      <c r="I270" s="23"/>
      <c r="J270" s="25"/>
      <c r="K270" s="25"/>
      <c r="L270" s="25"/>
      <c r="M270" s="25"/>
      <c r="N270" s="36">
        <f t="shared" si="238"/>
        <v>800</v>
      </c>
      <c r="O270" s="25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25"/>
      <c r="B271" s="25"/>
      <c r="C271" s="25"/>
      <c r="D271" s="25"/>
      <c r="E271" s="23"/>
      <c r="F271" s="24"/>
      <c r="G271" s="25"/>
      <c r="H271" s="25"/>
      <c r="I271" s="23"/>
      <c r="J271" s="25"/>
      <c r="K271" s="25"/>
      <c r="L271" s="25"/>
      <c r="M271" s="25"/>
      <c r="N271" s="36">
        <f t="shared" si="238"/>
        <v>800</v>
      </c>
      <c r="O271" s="25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25"/>
      <c r="B272" s="25"/>
      <c r="C272" s="25"/>
      <c r="D272" s="25"/>
      <c r="E272" s="23"/>
      <c r="F272" s="24"/>
      <c r="G272" s="25"/>
      <c r="H272" s="25"/>
      <c r="I272" s="23"/>
      <c r="J272" s="25"/>
      <c r="K272" s="25"/>
      <c r="L272" s="25"/>
      <c r="M272" s="25"/>
      <c r="N272" s="36">
        <f t="shared" si="238"/>
        <v>800</v>
      </c>
      <c r="O272" s="25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25"/>
      <c r="B273" s="25"/>
      <c r="C273" s="25"/>
      <c r="D273" s="25"/>
      <c r="E273" s="23"/>
      <c r="F273" s="24"/>
      <c r="G273" s="25"/>
      <c r="H273" s="25"/>
      <c r="I273" s="23"/>
      <c r="J273" s="25"/>
      <c r="K273" s="25"/>
      <c r="L273" s="25"/>
      <c r="M273" s="25"/>
      <c r="N273" s="36">
        <f t="shared" si="238"/>
        <v>800</v>
      </c>
      <c r="O273" s="25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25"/>
      <c r="B274" s="25"/>
      <c r="C274" s="25"/>
      <c r="D274" s="25"/>
      <c r="E274" s="23"/>
      <c r="F274" s="24"/>
      <c r="G274" s="25"/>
      <c r="H274" s="25"/>
      <c r="I274" s="23"/>
      <c r="J274" s="25"/>
      <c r="K274" s="25"/>
      <c r="L274" s="25"/>
      <c r="M274" s="25"/>
      <c r="N274" s="36">
        <f t="shared" si="238"/>
        <v>800</v>
      </c>
      <c r="O274" s="25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25"/>
      <c r="B275" s="25"/>
      <c r="C275" s="25"/>
      <c r="D275" s="25"/>
      <c r="E275" s="23"/>
      <c r="F275" s="24"/>
      <c r="G275" s="25"/>
      <c r="H275" s="25"/>
      <c r="I275" s="23"/>
      <c r="J275" s="25"/>
      <c r="K275" s="25"/>
      <c r="L275" s="25"/>
      <c r="M275" s="25"/>
      <c r="N275" s="36">
        <f t="shared" si="238"/>
        <v>800</v>
      </c>
      <c r="O275" s="25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25"/>
      <c r="B276" s="25"/>
      <c r="C276" s="25"/>
      <c r="D276" s="25"/>
      <c r="E276" s="23"/>
      <c r="F276" s="24"/>
      <c r="G276" s="25"/>
      <c r="H276" s="25"/>
      <c r="I276" s="23"/>
      <c r="J276" s="25"/>
      <c r="K276" s="25"/>
      <c r="L276" s="25"/>
      <c r="M276" s="25"/>
      <c r="N276" s="36">
        <f t="shared" si="238"/>
        <v>800</v>
      </c>
      <c r="O276" s="25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25"/>
      <c r="B277" s="25"/>
      <c r="C277" s="25"/>
      <c r="D277" s="25"/>
      <c r="E277" s="23"/>
      <c r="F277" s="24"/>
      <c r="G277" s="25"/>
      <c r="H277" s="25"/>
      <c r="I277" s="23"/>
      <c r="J277" s="25"/>
      <c r="K277" s="25"/>
      <c r="L277" s="25"/>
      <c r="M277" s="25"/>
      <c r="N277" s="36">
        <f t="shared" si="238"/>
        <v>800</v>
      </c>
      <c r="O277" s="25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25"/>
      <c r="B278" s="25"/>
      <c r="C278" s="25"/>
      <c r="D278" s="25"/>
      <c r="E278" s="23"/>
      <c r="F278" s="24"/>
      <c r="G278" s="25"/>
      <c r="H278" s="25"/>
      <c r="I278" s="23"/>
      <c r="J278" s="25"/>
      <c r="K278" s="25"/>
      <c r="L278" s="25"/>
      <c r="M278" s="25"/>
      <c r="N278" s="36">
        <f t="shared" si="238"/>
        <v>800</v>
      </c>
      <c r="O278" s="25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25"/>
      <c r="B279" s="25"/>
      <c r="C279" s="25"/>
      <c r="D279" s="25"/>
      <c r="E279" s="23"/>
      <c r="F279" s="24"/>
      <c r="G279" s="25"/>
      <c r="H279" s="25"/>
      <c r="I279" s="23"/>
      <c r="J279" s="25"/>
      <c r="K279" s="25"/>
      <c r="L279" s="25"/>
      <c r="M279" s="25"/>
      <c r="N279" s="36">
        <f t="shared" si="238"/>
        <v>800</v>
      </c>
      <c r="O279" s="25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25"/>
      <c r="B280" s="25"/>
      <c r="C280" s="25"/>
      <c r="D280" s="25"/>
      <c r="E280" s="23"/>
      <c r="F280" s="24"/>
      <c r="G280" s="25"/>
      <c r="H280" s="25"/>
      <c r="I280" s="23"/>
      <c r="J280" s="25"/>
      <c r="K280" s="25"/>
      <c r="L280" s="25"/>
      <c r="M280" s="25"/>
      <c r="N280" s="36">
        <f t="shared" si="238"/>
        <v>800</v>
      </c>
      <c r="O280" s="25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25"/>
      <c r="B281" s="25"/>
      <c r="C281" s="25"/>
      <c r="D281" s="25"/>
      <c r="E281" s="23"/>
      <c r="F281" s="24"/>
      <c r="G281" s="25"/>
      <c r="H281" s="25"/>
      <c r="I281" s="23"/>
      <c r="J281" s="25"/>
      <c r="K281" s="25"/>
      <c r="L281" s="25"/>
      <c r="M281" s="25"/>
      <c r="N281" s="36">
        <f t="shared" si="238"/>
        <v>800</v>
      </c>
      <c r="O281" s="25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25"/>
      <c r="B282" s="25"/>
      <c r="C282" s="25"/>
      <c r="D282" s="25"/>
      <c r="E282" s="23"/>
      <c r="F282" s="24"/>
      <c r="G282" s="25"/>
      <c r="H282" s="25"/>
      <c r="I282" s="23"/>
      <c r="J282" s="25"/>
      <c r="K282" s="25"/>
      <c r="L282" s="25"/>
      <c r="M282" s="25"/>
      <c r="N282" s="36">
        <f t="shared" si="238"/>
        <v>800</v>
      </c>
      <c r="O282" s="25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25"/>
      <c r="B283" s="25"/>
      <c r="C283" s="25"/>
      <c r="D283" s="25"/>
      <c r="E283" s="23"/>
      <c r="F283" s="24"/>
      <c r="G283" s="25"/>
      <c r="H283" s="25"/>
      <c r="I283" s="23"/>
      <c r="J283" s="25"/>
      <c r="K283" s="25"/>
      <c r="L283" s="25"/>
      <c r="M283" s="25"/>
      <c r="N283" s="36">
        <f t="shared" si="238"/>
        <v>800</v>
      </c>
      <c r="O283" s="25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25"/>
      <c r="B284" s="25"/>
      <c r="C284" s="25"/>
      <c r="D284" s="25"/>
      <c r="E284" s="23"/>
      <c r="F284" s="24"/>
      <c r="G284" s="25"/>
      <c r="H284" s="25"/>
      <c r="I284" s="23"/>
      <c r="J284" s="25"/>
      <c r="K284" s="25"/>
      <c r="L284" s="25"/>
      <c r="M284" s="25"/>
      <c r="N284" s="36">
        <f t="shared" si="238"/>
        <v>800</v>
      </c>
      <c r="O284" s="25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25"/>
      <c r="B285" s="25"/>
      <c r="C285" s="25"/>
      <c r="D285" s="25"/>
      <c r="E285" s="23"/>
      <c r="F285" s="24"/>
      <c r="G285" s="25"/>
      <c r="H285" s="25"/>
      <c r="I285" s="23"/>
      <c r="J285" s="25"/>
      <c r="K285" s="25"/>
      <c r="L285" s="25"/>
      <c r="M285" s="25"/>
      <c r="N285" s="36">
        <f t="shared" si="238"/>
        <v>800</v>
      </c>
      <c r="O285" s="25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25"/>
      <c r="B286" s="25"/>
      <c r="C286" s="25"/>
      <c r="D286" s="25"/>
      <c r="E286" s="23"/>
      <c r="F286" s="24"/>
      <c r="G286" s="25"/>
      <c r="H286" s="25"/>
      <c r="I286" s="23"/>
      <c r="J286" s="25"/>
      <c r="K286" s="25"/>
      <c r="L286" s="25"/>
      <c r="M286" s="25"/>
      <c r="N286" s="36">
        <f t="shared" si="238"/>
        <v>800</v>
      </c>
      <c r="O286" s="25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25"/>
      <c r="B287" s="25"/>
      <c r="C287" s="25"/>
      <c r="D287" s="25"/>
      <c r="E287" s="23"/>
      <c r="F287" s="24"/>
      <c r="G287" s="25"/>
      <c r="H287" s="25"/>
      <c r="I287" s="23"/>
      <c r="J287" s="25"/>
      <c r="K287" s="25"/>
      <c r="L287" s="25"/>
      <c r="M287" s="25"/>
      <c r="N287" s="36">
        <f t="shared" si="238"/>
        <v>800</v>
      </c>
      <c r="O287" s="25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25"/>
      <c r="B288" s="25"/>
      <c r="C288" s="25"/>
      <c r="D288" s="25"/>
      <c r="E288" s="23"/>
      <c r="F288" s="24"/>
      <c r="G288" s="25"/>
      <c r="H288" s="25"/>
      <c r="I288" s="23"/>
      <c r="J288" s="25"/>
      <c r="K288" s="25"/>
      <c r="L288" s="25"/>
      <c r="M288" s="25"/>
      <c r="N288" s="36">
        <f t="shared" si="238"/>
        <v>800</v>
      </c>
      <c r="O288" s="25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25"/>
      <c r="B289" s="25"/>
      <c r="C289" s="25"/>
      <c r="D289" s="25"/>
      <c r="E289" s="23"/>
      <c r="F289" s="24"/>
      <c r="G289" s="25"/>
      <c r="H289" s="25"/>
      <c r="I289" s="23"/>
      <c r="J289" s="25"/>
      <c r="K289" s="25"/>
      <c r="L289" s="25"/>
      <c r="M289" s="25"/>
      <c r="N289" s="36">
        <f t="shared" si="238"/>
        <v>800</v>
      </c>
      <c r="O289" s="25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25"/>
      <c r="B290" s="25"/>
      <c r="C290" s="25"/>
      <c r="D290" s="25"/>
      <c r="E290" s="23"/>
      <c r="F290" s="24"/>
      <c r="G290" s="25"/>
      <c r="H290" s="25"/>
      <c r="I290" s="23"/>
      <c r="J290" s="25"/>
      <c r="K290" s="25"/>
      <c r="L290" s="25"/>
      <c r="M290" s="25"/>
      <c r="N290" s="36">
        <f t="shared" si="238"/>
        <v>800</v>
      </c>
      <c r="O290" s="25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25"/>
      <c r="B291" s="25"/>
      <c r="C291" s="25"/>
      <c r="D291" s="25"/>
      <c r="E291" s="23"/>
      <c r="F291" s="24"/>
      <c r="G291" s="25"/>
      <c r="H291" s="25"/>
      <c r="I291" s="23"/>
      <c r="J291" s="25"/>
      <c r="K291" s="25"/>
      <c r="L291" s="25"/>
      <c r="M291" s="25"/>
      <c r="N291" s="36">
        <f t="shared" si="238"/>
        <v>800</v>
      </c>
      <c r="O291" s="25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25"/>
      <c r="B292" s="25"/>
      <c r="C292" s="25"/>
      <c r="D292" s="25"/>
      <c r="E292" s="23"/>
      <c r="F292" s="24"/>
      <c r="G292" s="25"/>
      <c r="H292" s="25"/>
      <c r="I292" s="23"/>
      <c r="J292" s="25"/>
      <c r="K292" s="25"/>
      <c r="L292" s="25"/>
      <c r="M292" s="25"/>
      <c r="N292" s="36">
        <f t="shared" si="238"/>
        <v>800</v>
      </c>
      <c r="O292" s="25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25"/>
      <c r="B293" s="25"/>
      <c r="C293" s="25"/>
      <c r="D293" s="25"/>
      <c r="E293" s="23"/>
      <c r="F293" s="24"/>
      <c r="G293" s="25"/>
      <c r="H293" s="25"/>
      <c r="I293" s="23"/>
      <c r="J293" s="25"/>
      <c r="K293" s="25"/>
      <c r="L293" s="25"/>
      <c r="M293" s="25"/>
      <c r="N293" s="36">
        <f t="shared" si="238"/>
        <v>800</v>
      </c>
      <c r="O293" s="25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25"/>
      <c r="B294" s="25"/>
      <c r="C294" s="25"/>
      <c r="D294" s="25"/>
      <c r="E294" s="23"/>
      <c r="F294" s="24"/>
      <c r="G294" s="25"/>
      <c r="H294" s="25"/>
      <c r="I294" s="23"/>
      <c r="J294" s="25"/>
      <c r="K294" s="25"/>
      <c r="L294" s="25"/>
      <c r="M294" s="25"/>
      <c r="N294" s="36">
        <f t="shared" si="238"/>
        <v>800</v>
      </c>
      <c r="O294" s="25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25"/>
      <c r="B295" s="25"/>
      <c r="C295" s="25"/>
      <c r="D295" s="25"/>
      <c r="E295" s="23"/>
      <c r="F295" s="24"/>
      <c r="G295" s="25"/>
      <c r="H295" s="25"/>
      <c r="I295" s="23"/>
      <c r="J295" s="25"/>
      <c r="K295" s="25"/>
      <c r="L295" s="25"/>
      <c r="M295" s="25"/>
      <c r="N295" s="36">
        <f t="shared" si="238"/>
        <v>800</v>
      </c>
      <c r="O295" s="25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25"/>
      <c r="B296" s="25"/>
      <c r="C296" s="25"/>
      <c r="D296" s="25"/>
      <c r="E296" s="23"/>
      <c r="F296" s="24"/>
      <c r="G296" s="25"/>
      <c r="H296" s="25"/>
      <c r="I296" s="23"/>
      <c r="J296" s="25"/>
      <c r="K296" s="25"/>
      <c r="L296" s="25"/>
      <c r="M296" s="25"/>
      <c r="N296" s="36">
        <f t="shared" si="238"/>
        <v>800</v>
      </c>
      <c r="O296" s="25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25"/>
      <c r="B297" s="25"/>
      <c r="C297" s="25"/>
      <c r="D297" s="25"/>
      <c r="E297" s="23"/>
      <c r="F297" s="24"/>
      <c r="G297" s="25"/>
      <c r="H297" s="25"/>
      <c r="I297" s="23"/>
      <c r="J297" s="25"/>
      <c r="K297" s="25"/>
      <c r="L297" s="25"/>
      <c r="M297" s="25"/>
      <c r="N297" s="36">
        <f t="shared" si="238"/>
        <v>800</v>
      </c>
      <c r="O297" s="25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25"/>
      <c r="B298" s="25"/>
      <c r="C298" s="25"/>
      <c r="D298" s="25"/>
      <c r="E298" s="23"/>
      <c r="F298" s="24"/>
      <c r="G298" s="25"/>
      <c r="H298" s="25"/>
      <c r="I298" s="23"/>
      <c r="J298" s="25"/>
      <c r="K298" s="25"/>
      <c r="L298" s="25"/>
      <c r="M298" s="25"/>
      <c r="N298" s="36">
        <f t="shared" si="238"/>
        <v>800</v>
      </c>
      <c r="O298" s="25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25"/>
      <c r="B299" s="25"/>
      <c r="C299" s="25"/>
      <c r="D299" s="25"/>
      <c r="E299" s="23"/>
      <c r="F299" s="24"/>
      <c r="G299" s="25"/>
      <c r="H299" s="25"/>
      <c r="I299" s="23"/>
      <c r="J299" s="25"/>
      <c r="K299" s="25"/>
      <c r="L299" s="25"/>
      <c r="M299" s="25"/>
      <c r="N299" s="36">
        <f t="shared" si="238"/>
        <v>800</v>
      </c>
      <c r="O299" s="25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25"/>
      <c r="B300" s="25"/>
      <c r="C300" s="25"/>
      <c r="D300" s="25"/>
      <c r="E300" s="23"/>
      <c r="F300" s="24"/>
      <c r="G300" s="25"/>
      <c r="H300" s="25"/>
      <c r="I300" s="23"/>
      <c r="J300" s="25"/>
      <c r="K300" s="25"/>
      <c r="L300" s="25"/>
      <c r="M300" s="25"/>
      <c r="N300" s="36">
        <f t="shared" si="238"/>
        <v>800</v>
      </c>
      <c r="O300" s="25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25"/>
      <c r="B301" s="25"/>
      <c r="C301" s="25"/>
      <c r="D301" s="25"/>
      <c r="E301" s="23"/>
      <c r="F301" s="24"/>
      <c r="G301" s="25"/>
      <c r="H301" s="25"/>
      <c r="I301" s="23"/>
      <c r="J301" s="25"/>
      <c r="K301" s="25"/>
      <c r="L301" s="25"/>
      <c r="M301" s="25"/>
      <c r="N301" s="36">
        <f t="shared" si="238"/>
        <v>800</v>
      </c>
      <c r="O301" s="25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25"/>
      <c r="B302" s="25"/>
      <c r="C302" s="25"/>
      <c r="D302" s="25"/>
      <c r="E302" s="23"/>
      <c r="F302" s="24"/>
      <c r="G302" s="25"/>
      <c r="H302" s="25"/>
      <c r="I302" s="23"/>
      <c r="J302" s="25"/>
      <c r="K302" s="25"/>
      <c r="L302" s="25"/>
      <c r="M302" s="25"/>
      <c r="N302" s="36">
        <f t="shared" si="238"/>
        <v>800</v>
      </c>
      <c r="O302" s="25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25"/>
      <c r="B303" s="25"/>
      <c r="C303" s="25"/>
      <c r="D303" s="25"/>
      <c r="E303" s="23"/>
      <c r="F303" s="24"/>
      <c r="G303" s="25"/>
      <c r="H303" s="25"/>
      <c r="I303" s="23"/>
      <c r="J303" s="25"/>
      <c r="K303" s="25"/>
      <c r="L303" s="25"/>
      <c r="M303" s="25"/>
      <c r="N303" s="36">
        <f t="shared" si="238"/>
        <v>800</v>
      </c>
      <c r="O303" s="25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25"/>
      <c r="B304" s="25"/>
      <c r="C304" s="25"/>
      <c r="D304" s="25"/>
      <c r="E304" s="23"/>
      <c r="F304" s="24"/>
      <c r="G304" s="25"/>
      <c r="H304" s="25"/>
      <c r="I304" s="23"/>
      <c r="J304" s="25"/>
      <c r="K304" s="25"/>
      <c r="L304" s="25"/>
      <c r="M304" s="25"/>
      <c r="N304" s="36">
        <f t="shared" si="238"/>
        <v>800</v>
      </c>
      <c r="O304" s="25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25"/>
      <c r="B305" s="25"/>
      <c r="C305" s="25"/>
      <c r="D305" s="25"/>
      <c r="E305" s="23"/>
      <c r="F305" s="24"/>
      <c r="G305" s="25"/>
      <c r="H305" s="25"/>
      <c r="I305" s="23"/>
      <c r="J305" s="25"/>
      <c r="K305" s="25"/>
      <c r="L305" s="25"/>
      <c r="M305" s="25"/>
      <c r="N305" s="36">
        <f t="shared" si="238"/>
        <v>800</v>
      </c>
      <c r="O305" s="25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25"/>
      <c r="B306" s="25"/>
      <c r="C306" s="25"/>
      <c r="D306" s="25"/>
      <c r="E306" s="23"/>
      <c r="F306" s="24"/>
      <c r="G306" s="25"/>
      <c r="H306" s="25"/>
      <c r="I306" s="23"/>
      <c r="J306" s="25"/>
      <c r="K306" s="25"/>
      <c r="L306" s="25"/>
      <c r="M306" s="25"/>
      <c r="N306" s="36">
        <f t="shared" si="238"/>
        <v>800</v>
      </c>
      <c r="O306" s="25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25"/>
      <c r="B307" s="25"/>
      <c r="C307" s="25"/>
      <c r="D307" s="25"/>
      <c r="E307" s="23"/>
      <c r="F307" s="24"/>
      <c r="G307" s="25"/>
      <c r="H307" s="25"/>
      <c r="I307" s="23"/>
      <c r="J307" s="25"/>
      <c r="K307" s="25"/>
      <c r="L307" s="25"/>
      <c r="M307" s="25"/>
      <c r="N307" s="36">
        <f t="shared" si="238"/>
        <v>800</v>
      </c>
      <c r="O307" s="25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25"/>
      <c r="B308" s="25"/>
      <c r="C308" s="25"/>
      <c r="D308" s="25"/>
      <c r="E308" s="23"/>
      <c r="F308" s="24"/>
      <c r="G308" s="25"/>
      <c r="H308" s="25"/>
      <c r="I308" s="23"/>
      <c r="J308" s="25"/>
      <c r="K308" s="25"/>
      <c r="L308" s="25"/>
      <c r="M308" s="25"/>
      <c r="N308" s="36">
        <f t="shared" si="238"/>
        <v>800</v>
      </c>
      <c r="O308" s="25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25"/>
      <c r="B309" s="25"/>
      <c r="C309" s="25"/>
      <c r="D309" s="25"/>
      <c r="E309" s="23"/>
      <c r="F309" s="24"/>
      <c r="G309" s="25"/>
      <c r="H309" s="25"/>
      <c r="I309" s="23"/>
      <c r="J309" s="25"/>
      <c r="K309" s="25"/>
      <c r="L309" s="25"/>
      <c r="M309" s="25"/>
      <c r="N309" s="36">
        <f t="shared" si="238"/>
        <v>800</v>
      </c>
      <c r="O309" s="25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25"/>
      <c r="B310" s="25"/>
      <c r="C310" s="25"/>
      <c r="D310" s="25"/>
      <c r="E310" s="23"/>
      <c r="F310" s="24"/>
      <c r="G310" s="25"/>
      <c r="H310" s="25"/>
      <c r="I310" s="23"/>
      <c r="J310" s="25"/>
      <c r="K310" s="25"/>
      <c r="L310" s="25"/>
      <c r="M310" s="25"/>
      <c r="N310" s="36">
        <f t="shared" si="238"/>
        <v>800</v>
      </c>
      <c r="O310" s="25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25"/>
      <c r="B311" s="25"/>
      <c r="C311" s="25"/>
      <c r="D311" s="25"/>
      <c r="E311" s="23"/>
      <c r="F311" s="24"/>
      <c r="G311" s="25"/>
      <c r="H311" s="25"/>
      <c r="I311" s="23"/>
      <c r="J311" s="25"/>
      <c r="K311" s="25"/>
      <c r="L311" s="25"/>
      <c r="M311" s="25"/>
      <c r="N311" s="36">
        <f t="shared" si="238"/>
        <v>800</v>
      </c>
      <c r="O311" s="25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25"/>
      <c r="B312" s="25"/>
      <c r="C312" s="25"/>
      <c r="D312" s="25"/>
      <c r="E312" s="23"/>
      <c r="F312" s="24"/>
      <c r="G312" s="25"/>
      <c r="H312" s="25"/>
      <c r="I312" s="23"/>
      <c r="J312" s="25"/>
      <c r="K312" s="25"/>
      <c r="L312" s="25"/>
      <c r="M312" s="25"/>
      <c r="N312" s="36">
        <f t="shared" si="238"/>
        <v>800</v>
      </c>
      <c r="O312" s="25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25"/>
      <c r="B313" s="25"/>
      <c r="C313" s="25"/>
      <c r="D313" s="25"/>
      <c r="E313" s="23"/>
      <c r="F313" s="24"/>
      <c r="G313" s="25"/>
      <c r="H313" s="25"/>
      <c r="I313" s="23"/>
      <c r="J313" s="25"/>
      <c r="K313" s="25"/>
      <c r="L313" s="25"/>
      <c r="M313" s="25"/>
      <c r="N313" s="36">
        <f t="shared" si="238"/>
        <v>800</v>
      </c>
      <c r="O313" s="25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25"/>
      <c r="B314" s="25"/>
      <c r="C314" s="25"/>
      <c r="D314" s="25"/>
      <c r="E314" s="23"/>
      <c r="F314" s="24"/>
      <c r="G314" s="25"/>
      <c r="H314" s="25"/>
      <c r="I314" s="23"/>
      <c r="J314" s="25"/>
      <c r="K314" s="25"/>
      <c r="L314" s="25"/>
      <c r="M314" s="25"/>
      <c r="N314" s="36">
        <f t="shared" si="238"/>
        <v>800</v>
      </c>
      <c r="O314" s="25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25"/>
      <c r="B315" s="25"/>
      <c r="C315" s="25"/>
      <c r="D315" s="25"/>
      <c r="E315" s="23"/>
      <c r="F315" s="24"/>
      <c r="G315" s="25"/>
      <c r="H315" s="25"/>
      <c r="I315" s="23"/>
      <c r="J315" s="25"/>
      <c r="K315" s="25"/>
      <c r="L315" s="25"/>
      <c r="M315" s="25"/>
      <c r="N315" s="36">
        <f t="shared" si="238"/>
        <v>800</v>
      </c>
      <c r="O315" s="25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25"/>
      <c r="B316" s="25"/>
      <c r="C316" s="25"/>
      <c r="D316" s="25"/>
      <c r="E316" s="23"/>
      <c r="F316" s="24"/>
      <c r="G316" s="25"/>
      <c r="H316" s="25"/>
      <c r="I316" s="23"/>
      <c r="J316" s="25"/>
      <c r="K316" s="25"/>
      <c r="L316" s="25"/>
      <c r="M316" s="25"/>
      <c r="N316" s="36">
        <f t="shared" si="238"/>
        <v>800</v>
      </c>
      <c r="O316" s="25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25"/>
      <c r="B317" s="25"/>
      <c r="C317" s="25"/>
      <c r="D317" s="25"/>
      <c r="E317" s="23"/>
      <c r="F317" s="24"/>
      <c r="G317" s="25"/>
      <c r="H317" s="25"/>
      <c r="I317" s="23"/>
      <c r="J317" s="25"/>
      <c r="K317" s="25"/>
      <c r="L317" s="25"/>
      <c r="M317" s="25"/>
      <c r="N317" s="36">
        <f t="shared" si="238"/>
        <v>800</v>
      </c>
      <c r="O317" s="25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25"/>
      <c r="B318" s="25"/>
      <c r="C318" s="25"/>
      <c r="D318" s="25"/>
      <c r="E318" s="23"/>
      <c r="F318" s="24"/>
      <c r="G318" s="25"/>
      <c r="H318" s="25"/>
      <c r="I318" s="23"/>
      <c r="J318" s="25"/>
      <c r="K318" s="25"/>
      <c r="L318" s="25"/>
      <c r="M318" s="25"/>
      <c r="N318" s="36">
        <f t="shared" si="238"/>
        <v>800</v>
      </c>
      <c r="O318" s="25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25"/>
      <c r="B319" s="25"/>
      <c r="C319" s="25"/>
      <c r="D319" s="25"/>
      <c r="E319" s="23"/>
      <c r="F319" s="24"/>
      <c r="G319" s="25"/>
      <c r="H319" s="25"/>
      <c r="I319" s="23"/>
      <c r="J319" s="25"/>
      <c r="K319" s="25"/>
      <c r="L319" s="25"/>
      <c r="M319" s="25"/>
      <c r="N319" s="36">
        <f t="shared" si="238"/>
        <v>800</v>
      </c>
      <c r="O319" s="25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25"/>
      <c r="B320" s="25"/>
      <c r="C320" s="25"/>
      <c r="D320" s="25"/>
      <c r="E320" s="23"/>
      <c r="F320" s="24"/>
      <c r="G320" s="25"/>
      <c r="H320" s="25"/>
      <c r="I320" s="23"/>
      <c r="J320" s="25"/>
      <c r="K320" s="25"/>
      <c r="L320" s="25"/>
      <c r="M320" s="25"/>
      <c r="N320" s="36">
        <f t="shared" si="238"/>
        <v>800</v>
      </c>
      <c r="O320" s="25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25"/>
      <c r="B321" s="25"/>
      <c r="C321" s="25"/>
      <c r="D321" s="25"/>
      <c r="E321" s="23"/>
      <c r="F321" s="24"/>
      <c r="G321" s="25"/>
      <c r="H321" s="25"/>
      <c r="I321" s="23"/>
      <c r="J321" s="25"/>
      <c r="K321" s="25"/>
      <c r="L321" s="25"/>
      <c r="M321" s="25"/>
      <c r="N321" s="36">
        <f t="shared" si="238"/>
        <v>800</v>
      </c>
      <c r="O321" s="25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25"/>
      <c r="B322" s="25"/>
      <c r="C322" s="25"/>
      <c r="D322" s="25"/>
      <c r="E322" s="23"/>
      <c r="F322" s="24"/>
      <c r="G322" s="25"/>
      <c r="H322" s="25"/>
      <c r="I322" s="23"/>
      <c r="J322" s="25"/>
      <c r="K322" s="25"/>
      <c r="L322" s="25"/>
      <c r="M322" s="25"/>
      <c r="N322" s="36">
        <f t="shared" si="238"/>
        <v>800</v>
      </c>
      <c r="O322" s="25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25"/>
      <c r="B323" s="25"/>
      <c r="C323" s="25"/>
      <c r="D323" s="25"/>
      <c r="E323" s="23"/>
      <c r="F323" s="24"/>
      <c r="G323" s="25"/>
      <c r="H323" s="25"/>
      <c r="I323" s="23"/>
      <c r="J323" s="25"/>
      <c r="K323" s="25"/>
      <c r="L323" s="25"/>
      <c r="M323" s="25"/>
      <c r="N323" s="36">
        <f t="shared" si="238"/>
        <v>800</v>
      </c>
      <c r="O323" s="25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25"/>
      <c r="B324" s="25"/>
      <c r="C324" s="25"/>
      <c r="D324" s="25"/>
      <c r="E324" s="23"/>
      <c r="F324" s="24"/>
      <c r="G324" s="25"/>
      <c r="H324" s="25"/>
      <c r="I324" s="23"/>
      <c r="J324" s="25"/>
      <c r="K324" s="25"/>
      <c r="L324" s="25"/>
      <c r="M324" s="25"/>
      <c r="N324" s="36">
        <f t="shared" si="238"/>
        <v>800</v>
      </c>
      <c r="O324" s="25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25"/>
      <c r="B325" s="25"/>
      <c r="C325" s="25"/>
      <c r="D325" s="25"/>
      <c r="E325" s="23"/>
      <c r="F325" s="24"/>
      <c r="G325" s="25"/>
      <c r="H325" s="25"/>
      <c r="I325" s="23"/>
      <c r="J325" s="25"/>
      <c r="K325" s="25"/>
      <c r="L325" s="25"/>
      <c r="M325" s="25"/>
      <c r="N325" s="36">
        <f t="shared" si="238"/>
        <v>800</v>
      </c>
      <c r="O325" s="25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25"/>
      <c r="B326" s="25"/>
      <c r="C326" s="25"/>
      <c r="D326" s="25"/>
      <c r="E326" s="23"/>
      <c r="F326" s="24"/>
      <c r="G326" s="25"/>
      <c r="H326" s="25"/>
      <c r="I326" s="23"/>
      <c r="J326" s="25"/>
      <c r="K326" s="25"/>
      <c r="L326" s="25"/>
      <c r="M326" s="25"/>
      <c r="N326" s="36">
        <f t="shared" si="238"/>
        <v>800</v>
      </c>
      <c r="O326" s="25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25"/>
      <c r="B327" s="25"/>
      <c r="C327" s="25"/>
      <c r="D327" s="25"/>
      <c r="E327" s="23"/>
      <c r="F327" s="24"/>
      <c r="G327" s="25"/>
      <c r="H327" s="25"/>
      <c r="I327" s="23"/>
      <c r="J327" s="25"/>
      <c r="K327" s="25"/>
      <c r="L327" s="25"/>
      <c r="M327" s="25"/>
      <c r="N327" s="36">
        <f t="shared" si="238"/>
        <v>800</v>
      </c>
      <c r="O327" s="25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25"/>
      <c r="B328" s="25"/>
      <c r="C328" s="25"/>
      <c r="D328" s="25"/>
      <c r="E328" s="23"/>
      <c r="F328" s="24"/>
      <c r="G328" s="25"/>
      <c r="H328" s="25"/>
      <c r="I328" s="23"/>
      <c r="J328" s="25"/>
      <c r="K328" s="25"/>
      <c r="L328" s="25"/>
      <c r="M328" s="25"/>
      <c r="N328" s="36">
        <f t="shared" si="238"/>
        <v>800</v>
      </c>
      <c r="O328" s="25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25"/>
      <c r="B329" s="25"/>
      <c r="C329" s="25"/>
      <c r="D329" s="25"/>
      <c r="E329" s="23"/>
      <c r="F329" s="24"/>
      <c r="G329" s="25"/>
      <c r="H329" s="25"/>
      <c r="I329" s="23"/>
      <c r="J329" s="25"/>
      <c r="K329" s="25"/>
      <c r="L329" s="25"/>
      <c r="M329" s="25"/>
      <c r="N329" s="36">
        <f t="shared" si="238"/>
        <v>800</v>
      </c>
      <c r="O329" s="25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25"/>
      <c r="B330" s="25"/>
      <c r="C330" s="25"/>
      <c r="D330" s="25"/>
      <c r="E330" s="23"/>
      <c r="F330" s="24"/>
      <c r="G330" s="25"/>
      <c r="H330" s="25"/>
      <c r="I330" s="23"/>
      <c r="J330" s="25"/>
      <c r="K330" s="25"/>
      <c r="L330" s="25"/>
      <c r="M330" s="25"/>
      <c r="N330" s="36">
        <f t="shared" si="238"/>
        <v>800</v>
      </c>
      <c r="O330" s="25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33"/>
      <c r="F331" s="10"/>
      <c r="G331" s="9"/>
      <c r="H331" s="9"/>
      <c r="I331" s="33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33"/>
      <c r="F332" s="10"/>
      <c r="G332" s="9"/>
      <c r="H332" s="9"/>
      <c r="I332" s="33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33"/>
      <c r="F333" s="10"/>
      <c r="G333" s="9"/>
      <c r="H333" s="9"/>
      <c r="I333" s="33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33"/>
      <c r="F334" s="10"/>
      <c r="G334" s="9"/>
      <c r="H334" s="9"/>
      <c r="I334" s="33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33"/>
      <c r="F335" s="10"/>
      <c r="G335" s="9"/>
      <c r="H335" s="9"/>
      <c r="I335" s="33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33"/>
      <c r="F336" s="10"/>
      <c r="G336" s="9"/>
      <c r="H336" s="9"/>
      <c r="I336" s="33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33"/>
      <c r="F337" s="10"/>
      <c r="G337" s="9"/>
      <c r="H337" s="9"/>
      <c r="I337" s="33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33"/>
      <c r="F338" s="10"/>
      <c r="G338" s="9"/>
      <c r="H338" s="9"/>
      <c r="I338" s="33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33"/>
      <c r="F339" s="10"/>
      <c r="G339" s="9"/>
      <c r="H339" s="9"/>
      <c r="I339" s="33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33"/>
      <c r="F340" s="10"/>
      <c r="G340" s="9"/>
      <c r="H340" s="9"/>
      <c r="I340" s="33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33"/>
      <c r="F341" s="10"/>
      <c r="G341" s="9"/>
      <c r="H341" s="9"/>
      <c r="I341" s="33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33"/>
      <c r="F342" s="10"/>
      <c r="G342" s="9"/>
      <c r="H342" s="9"/>
      <c r="I342" s="33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33"/>
      <c r="F343" s="10"/>
      <c r="G343" s="9"/>
      <c r="H343" s="9"/>
      <c r="I343" s="33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33"/>
      <c r="F344" s="10"/>
      <c r="G344" s="9"/>
      <c r="H344" s="9"/>
      <c r="I344" s="33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33"/>
      <c r="F345" s="10"/>
      <c r="G345" s="9"/>
      <c r="H345" s="9"/>
      <c r="I345" s="33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33"/>
      <c r="F346" s="10"/>
      <c r="G346" s="9"/>
      <c r="H346" s="9"/>
      <c r="I346" s="33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33"/>
      <c r="F347" s="10"/>
      <c r="G347" s="9"/>
      <c r="H347" s="9"/>
      <c r="I347" s="33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33"/>
      <c r="F348" s="10"/>
      <c r="G348" s="9"/>
      <c r="H348" s="9"/>
      <c r="I348" s="33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33"/>
      <c r="F349" s="10"/>
      <c r="G349" s="9"/>
      <c r="H349" s="9"/>
      <c r="I349" s="33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33"/>
      <c r="F350" s="10"/>
      <c r="G350" s="9"/>
      <c r="H350" s="9"/>
      <c r="I350" s="33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33"/>
      <c r="F351" s="10"/>
      <c r="G351" s="9"/>
      <c r="H351" s="9"/>
      <c r="I351" s="33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33"/>
      <c r="F352" s="10"/>
      <c r="G352" s="9"/>
      <c r="H352" s="9"/>
      <c r="I352" s="33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33"/>
      <c r="F353" s="10"/>
      <c r="G353" s="9"/>
      <c r="H353" s="9"/>
      <c r="I353" s="33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33"/>
      <c r="F354" s="10"/>
      <c r="G354" s="9"/>
      <c r="H354" s="9"/>
      <c r="I354" s="33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33"/>
      <c r="F355" s="10"/>
      <c r="G355" s="9"/>
      <c r="H355" s="9"/>
      <c r="I355" s="33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33"/>
      <c r="F356" s="10"/>
      <c r="G356" s="9"/>
      <c r="H356" s="9"/>
      <c r="I356" s="33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33"/>
      <c r="F357" s="10"/>
      <c r="G357" s="9"/>
      <c r="H357" s="9"/>
      <c r="I357" s="33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33"/>
      <c r="F358" s="10"/>
      <c r="G358" s="9"/>
      <c r="H358" s="9"/>
      <c r="I358" s="33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33"/>
      <c r="F359" s="10"/>
      <c r="G359" s="9"/>
      <c r="H359" s="9"/>
      <c r="I359" s="33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33"/>
      <c r="F360" s="10"/>
      <c r="G360" s="9"/>
      <c r="H360" s="9"/>
      <c r="I360" s="33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33"/>
      <c r="F361" s="10"/>
      <c r="G361" s="9"/>
      <c r="H361" s="9"/>
      <c r="I361" s="33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33"/>
      <c r="F362" s="10"/>
      <c r="G362" s="9"/>
      <c r="H362" s="9"/>
      <c r="I362" s="33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33"/>
      <c r="F363" s="10"/>
      <c r="G363" s="9"/>
      <c r="H363" s="9"/>
      <c r="I363" s="33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33"/>
      <c r="F364" s="10"/>
      <c r="G364" s="9"/>
      <c r="H364" s="9"/>
      <c r="I364" s="33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33"/>
      <c r="F365" s="10"/>
      <c r="G365" s="9"/>
      <c r="H365" s="9"/>
      <c r="I365" s="33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33"/>
      <c r="F366" s="10"/>
      <c r="G366" s="9"/>
      <c r="H366" s="9"/>
      <c r="I366" s="33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33"/>
      <c r="F367" s="10"/>
      <c r="G367" s="9"/>
      <c r="H367" s="9"/>
      <c r="I367" s="33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33"/>
      <c r="F368" s="10"/>
      <c r="G368" s="9"/>
      <c r="H368" s="9"/>
      <c r="I368" s="33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33"/>
      <c r="F369" s="10"/>
      <c r="G369" s="9"/>
      <c r="H369" s="9"/>
      <c r="I369" s="33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33"/>
      <c r="F370" s="10"/>
      <c r="G370" s="9"/>
      <c r="H370" s="9"/>
      <c r="I370" s="33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33"/>
      <c r="F371" s="10"/>
      <c r="G371" s="9"/>
      <c r="H371" s="9"/>
      <c r="I371" s="33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33"/>
      <c r="F372" s="10"/>
      <c r="G372" s="9"/>
      <c r="H372" s="9"/>
      <c r="I372" s="33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33"/>
      <c r="F373" s="10"/>
      <c r="G373" s="9"/>
      <c r="H373" s="9"/>
      <c r="I373" s="33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33"/>
      <c r="F374" s="10"/>
      <c r="G374" s="9"/>
      <c r="H374" s="9"/>
      <c r="I374" s="33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33"/>
      <c r="F375" s="10"/>
      <c r="G375" s="9"/>
      <c r="H375" s="9"/>
      <c r="I375" s="33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33"/>
      <c r="F376" s="10"/>
      <c r="G376" s="9"/>
      <c r="H376" s="9"/>
      <c r="I376" s="33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33"/>
      <c r="F377" s="10"/>
      <c r="G377" s="9"/>
      <c r="H377" s="9"/>
      <c r="I377" s="33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33"/>
      <c r="F378" s="10"/>
      <c r="G378" s="9"/>
      <c r="H378" s="9"/>
      <c r="I378" s="33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33"/>
      <c r="F379" s="10"/>
      <c r="G379" s="9"/>
      <c r="H379" s="9"/>
      <c r="I379" s="33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33"/>
      <c r="F380" s="10"/>
      <c r="G380" s="9"/>
      <c r="H380" s="9"/>
      <c r="I380" s="33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33"/>
      <c r="F381" s="10"/>
      <c r="G381" s="9"/>
      <c r="H381" s="9"/>
      <c r="I381" s="33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33"/>
      <c r="F382" s="10"/>
      <c r="G382" s="9"/>
      <c r="H382" s="9"/>
      <c r="I382" s="33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33"/>
      <c r="F383" s="10"/>
      <c r="G383" s="9"/>
      <c r="H383" s="9"/>
      <c r="I383" s="33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33"/>
      <c r="F384" s="10"/>
      <c r="G384" s="9"/>
      <c r="H384" s="9"/>
      <c r="I384" s="33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33"/>
      <c r="F385" s="10"/>
      <c r="G385" s="9"/>
      <c r="H385" s="9"/>
      <c r="I385" s="33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33"/>
      <c r="F386" s="10"/>
      <c r="G386" s="9"/>
      <c r="H386" s="9"/>
      <c r="I386" s="33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33"/>
      <c r="F387" s="10"/>
      <c r="G387" s="9"/>
      <c r="H387" s="9"/>
      <c r="I387" s="33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33"/>
      <c r="F388" s="10"/>
      <c r="G388" s="9"/>
      <c r="H388" s="9"/>
      <c r="I388" s="33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33"/>
      <c r="F389" s="10"/>
      <c r="G389" s="9"/>
      <c r="H389" s="9"/>
      <c r="I389" s="33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33"/>
      <c r="F390" s="10"/>
      <c r="G390" s="9"/>
      <c r="H390" s="9"/>
      <c r="I390" s="33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33"/>
      <c r="F391" s="10"/>
      <c r="G391" s="9"/>
      <c r="H391" s="9"/>
      <c r="I391" s="33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33"/>
      <c r="F392" s="10"/>
      <c r="G392" s="9"/>
      <c r="H392" s="9"/>
      <c r="I392" s="33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33"/>
      <c r="F393" s="10"/>
      <c r="G393" s="9"/>
      <c r="H393" s="9"/>
      <c r="I393" s="33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33"/>
      <c r="F394" s="10"/>
      <c r="G394" s="9"/>
      <c r="H394" s="9"/>
      <c r="I394" s="33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33"/>
      <c r="F395" s="10"/>
      <c r="G395" s="9"/>
      <c r="H395" s="9"/>
      <c r="I395" s="33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33"/>
      <c r="F396" s="10"/>
      <c r="G396" s="9"/>
      <c r="H396" s="9"/>
      <c r="I396" s="33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33"/>
      <c r="F397" s="10"/>
      <c r="G397" s="9"/>
      <c r="H397" s="9"/>
      <c r="I397" s="33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33"/>
      <c r="F398" s="10"/>
      <c r="G398" s="9"/>
      <c r="H398" s="9"/>
      <c r="I398" s="33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33"/>
      <c r="F399" s="10"/>
      <c r="G399" s="9"/>
      <c r="H399" s="9"/>
      <c r="I399" s="33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33"/>
      <c r="F400" s="10"/>
      <c r="G400" s="9"/>
      <c r="H400" s="9"/>
      <c r="I400" s="33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33"/>
      <c r="F401" s="10"/>
      <c r="G401" s="9"/>
      <c r="H401" s="9"/>
      <c r="I401" s="33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33"/>
      <c r="F402" s="10"/>
      <c r="G402" s="9"/>
      <c r="H402" s="9"/>
      <c r="I402" s="33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33"/>
      <c r="F403" s="10"/>
      <c r="G403" s="9"/>
      <c r="H403" s="9"/>
      <c r="I403" s="33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33"/>
      <c r="F404" s="10"/>
      <c r="G404" s="9"/>
      <c r="H404" s="9"/>
      <c r="I404" s="33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33"/>
      <c r="F405" s="10"/>
      <c r="G405" s="9"/>
      <c r="H405" s="9"/>
      <c r="I405" s="33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33"/>
      <c r="F406" s="10"/>
      <c r="G406" s="9"/>
      <c r="H406" s="9"/>
      <c r="I406" s="33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33"/>
      <c r="F407" s="10"/>
      <c r="G407" s="9"/>
      <c r="H407" s="9"/>
      <c r="I407" s="33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33"/>
      <c r="F408" s="10"/>
      <c r="G408" s="9"/>
      <c r="H408" s="9"/>
      <c r="I408" s="33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33"/>
      <c r="F409" s="10"/>
      <c r="G409" s="9"/>
      <c r="H409" s="9"/>
      <c r="I409" s="33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33"/>
      <c r="F410" s="10"/>
      <c r="G410" s="9"/>
      <c r="H410" s="9"/>
      <c r="I410" s="33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33"/>
      <c r="F411" s="10"/>
      <c r="G411" s="9"/>
      <c r="H411" s="9"/>
      <c r="I411" s="33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33"/>
      <c r="F412" s="10"/>
      <c r="G412" s="9"/>
      <c r="H412" s="9"/>
      <c r="I412" s="33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33"/>
      <c r="F413" s="10"/>
      <c r="G413" s="9"/>
      <c r="H413" s="9"/>
      <c r="I413" s="33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33"/>
      <c r="F414" s="10"/>
      <c r="G414" s="9"/>
      <c r="H414" s="9"/>
      <c r="I414" s="33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33"/>
      <c r="F415" s="10"/>
      <c r="G415" s="9"/>
      <c r="H415" s="9"/>
      <c r="I415" s="33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33"/>
      <c r="F416" s="10"/>
      <c r="G416" s="9"/>
      <c r="H416" s="9"/>
      <c r="I416" s="33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33"/>
      <c r="F417" s="10"/>
      <c r="G417" s="9"/>
      <c r="H417" s="9"/>
      <c r="I417" s="33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33"/>
      <c r="F418" s="10"/>
      <c r="G418" s="9"/>
      <c r="H418" s="9"/>
      <c r="I418" s="33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33"/>
      <c r="F419" s="10"/>
      <c r="G419" s="9"/>
      <c r="H419" s="9"/>
      <c r="I419" s="33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33"/>
      <c r="F420" s="10"/>
      <c r="G420" s="9"/>
      <c r="H420" s="9"/>
      <c r="I420" s="33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33"/>
      <c r="F421" s="10"/>
      <c r="G421" s="9"/>
      <c r="H421" s="9"/>
      <c r="I421" s="33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33"/>
      <c r="F422" s="10"/>
      <c r="G422" s="9"/>
      <c r="H422" s="9"/>
      <c r="I422" s="33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33"/>
      <c r="F423" s="10"/>
      <c r="G423" s="9"/>
      <c r="H423" s="9"/>
      <c r="I423" s="33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33"/>
      <c r="F424" s="10"/>
      <c r="G424" s="9"/>
      <c r="H424" s="9"/>
      <c r="I424" s="33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33"/>
      <c r="F425" s="10"/>
      <c r="G425" s="9"/>
      <c r="H425" s="9"/>
      <c r="I425" s="33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33"/>
      <c r="F426" s="10"/>
      <c r="G426" s="9"/>
      <c r="H426" s="9"/>
      <c r="I426" s="33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33"/>
      <c r="F427" s="10"/>
      <c r="G427" s="9"/>
      <c r="H427" s="9"/>
      <c r="I427" s="33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33"/>
      <c r="F428" s="10"/>
      <c r="G428" s="9"/>
      <c r="H428" s="9"/>
      <c r="I428" s="33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33"/>
      <c r="F429" s="10"/>
      <c r="G429" s="9"/>
      <c r="H429" s="9"/>
      <c r="I429" s="33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33"/>
      <c r="F430" s="10"/>
      <c r="G430" s="9"/>
      <c r="H430" s="9"/>
      <c r="I430" s="33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33"/>
      <c r="F431" s="10"/>
      <c r="G431" s="9"/>
      <c r="H431" s="9"/>
      <c r="I431" s="33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33"/>
      <c r="F432" s="10"/>
      <c r="G432" s="9"/>
      <c r="H432" s="9"/>
      <c r="I432" s="33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33"/>
      <c r="F433" s="10"/>
      <c r="G433" s="9"/>
      <c r="H433" s="9"/>
      <c r="I433" s="33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33"/>
      <c r="F434" s="10"/>
      <c r="G434" s="9"/>
      <c r="H434" s="9"/>
      <c r="I434" s="33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33"/>
      <c r="F435" s="10"/>
      <c r="G435" s="9"/>
      <c r="H435" s="9"/>
      <c r="I435" s="33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33"/>
      <c r="F436" s="10"/>
      <c r="G436" s="9"/>
      <c r="H436" s="9"/>
      <c r="I436" s="33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33"/>
      <c r="F437" s="10"/>
      <c r="G437" s="9"/>
      <c r="H437" s="9"/>
      <c r="I437" s="33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33"/>
      <c r="F438" s="10"/>
      <c r="G438" s="9"/>
      <c r="H438" s="9"/>
      <c r="I438" s="33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33"/>
      <c r="F439" s="10"/>
      <c r="G439" s="9"/>
      <c r="H439" s="9"/>
      <c r="I439" s="33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33"/>
      <c r="F440" s="10"/>
      <c r="G440" s="9"/>
      <c r="H440" s="9"/>
      <c r="I440" s="33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33"/>
      <c r="F441" s="10"/>
      <c r="G441" s="9"/>
      <c r="H441" s="9"/>
      <c r="I441" s="33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33"/>
      <c r="F442" s="10"/>
      <c r="G442" s="9"/>
      <c r="H442" s="9"/>
      <c r="I442" s="33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33"/>
      <c r="F443" s="10"/>
      <c r="G443" s="9"/>
      <c r="H443" s="9"/>
      <c r="I443" s="33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33"/>
      <c r="F444" s="10"/>
      <c r="G444" s="9"/>
      <c r="H444" s="9"/>
      <c r="I444" s="33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33"/>
      <c r="F445" s="10"/>
      <c r="G445" s="9"/>
      <c r="H445" s="9"/>
      <c r="I445" s="33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33"/>
      <c r="F446" s="10"/>
      <c r="G446" s="9"/>
      <c r="H446" s="9"/>
      <c r="I446" s="33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33"/>
      <c r="F447" s="10"/>
      <c r="G447" s="9"/>
      <c r="H447" s="9"/>
      <c r="I447" s="33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33"/>
      <c r="F448" s="10"/>
      <c r="G448" s="9"/>
      <c r="H448" s="9"/>
      <c r="I448" s="33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33"/>
      <c r="F449" s="10"/>
      <c r="G449" s="9"/>
      <c r="H449" s="9"/>
      <c r="I449" s="33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33"/>
      <c r="F450" s="10"/>
      <c r="G450" s="9"/>
      <c r="H450" s="9"/>
      <c r="I450" s="33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33"/>
      <c r="F451" s="10"/>
      <c r="G451" s="9"/>
      <c r="H451" s="9"/>
      <c r="I451" s="33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33"/>
      <c r="F452" s="10"/>
      <c r="G452" s="9"/>
      <c r="H452" s="9"/>
      <c r="I452" s="33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33"/>
      <c r="F453" s="10"/>
      <c r="G453" s="9"/>
      <c r="H453" s="9"/>
      <c r="I453" s="33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33"/>
      <c r="F454" s="10"/>
      <c r="G454" s="9"/>
      <c r="H454" s="9"/>
      <c r="I454" s="33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33"/>
      <c r="F455" s="10"/>
      <c r="G455" s="9"/>
      <c r="H455" s="9"/>
      <c r="I455" s="33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33"/>
      <c r="F456" s="10"/>
      <c r="G456" s="9"/>
      <c r="H456" s="9"/>
      <c r="I456" s="33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33"/>
      <c r="F457" s="10"/>
      <c r="G457" s="9"/>
      <c r="H457" s="9"/>
      <c r="I457" s="33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33"/>
      <c r="F458" s="10"/>
      <c r="G458" s="9"/>
      <c r="H458" s="9"/>
      <c r="I458" s="33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33"/>
      <c r="F459" s="10"/>
      <c r="G459" s="9"/>
      <c r="H459" s="9"/>
      <c r="I459" s="33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33"/>
      <c r="F460" s="10"/>
      <c r="G460" s="9"/>
      <c r="H460" s="9"/>
      <c r="I460" s="33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33"/>
      <c r="F461" s="10"/>
      <c r="G461" s="9"/>
      <c r="H461" s="9"/>
      <c r="I461" s="33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33"/>
      <c r="F462" s="10"/>
      <c r="G462" s="9"/>
      <c r="H462" s="9"/>
      <c r="I462" s="33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33"/>
      <c r="F463" s="10"/>
      <c r="G463" s="9"/>
      <c r="H463" s="9"/>
      <c r="I463" s="33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33"/>
      <c r="F464" s="10"/>
      <c r="G464" s="9"/>
      <c r="H464" s="9"/>
      <c r="I464" s="33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33"/>
      <c r="F465" s="10"/>
      <c r="G465" s="9"/>
      <c r="H465" s="9"/>
      <c r="I465" s="33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33"/>
      <c r="F466" s="10"/>
      <c r="G466" s="9"/>
      <c r="H466" s="9"/>
      <c r="I466" s="33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33"/>
      <c r="F467" s="10"/>
      <c r="G467" s="9"/>
      <c r="H467" s="9"/>
      <c r="I467" s="33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33"/>
      <c r="F468" s="10"/>
      <c r="G468" s="9"/>
      <c r="H468" s="9"/>
      <c r="I468" s="33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33"/>
      <c r="F469" s="10"/>
      <c r="G469" s="9"/>
      <c r="H469" s="9"/>
      <c r="I469" s="33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33"/>
      <c r="F470" s="10"/>
      <c r="G470" s="9"/>
      <c r="H470" s="9"/>
      <c r="I470" s="33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33"/>
      <c r="F471" s="10"/>
      <c r="G471" s="9"/>
      <c r="H471" s="9"/>
      <c r="I471" s="33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33"/>
      <c r="F472" s="10"/>
      <c r="G472" s="9"/>
      <c r="H472" s="9"/>
      <c r="I472" s="33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33"/>
      <c r="F473" s="10"/>
      <c r="G473" s="9"/>
      <c r="H473" s="9"/>
      <c r="I473" s="33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33"/>
      <c r="F474" s="10"/>
      <c r="G474" s="9"/>
      <c r="H474" s="9"/>
      <c r="I474" s="33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33"/>
      <c r="F475" s="10"/>
      <c r="G475" s="9"/>
      <c r="H475" s="9"/>
      <c r="I475" s="33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33"/>
      <c r="F476" s="10"/>
      <c r="G476" s="9"/>
      <c r="H476" s="9"/>
      <c r="I476" s="33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33"/>
      <c r="F477" s="10"/>
      <c r="G477" s="9"/>
      <c r="H477" s="9"/>
      <c r="I477" s="33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33"/>
      <c r="F478" s="10"/>
      <c r="G478" s="9"/>
      <c r="H478" s="9"/>
      <c r="I478" s="33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33"/>
      <c r="F479" s="10"/>
      <c r="G479" s="9"/>
      <c r="H479" s="9"/>
      <c r="I479" s="33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33"/>
      <c r="F480" s="10"/>
      <c r="G480" s="9"/>
      <c r="H480" s="9"/>
      <c r="I480" s="33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33"/>
      <c r="F481" s="10"/>
      <c r="G481" s="9"/>
      <c r="H481" s="9"/>
      <c r="I481" s="33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33"/>
      <c r="F482" s="10"/>
      <c r="G482" s="9"/>
      <c r="H482" s="9"/>
      <c r="I482" s="33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33"/>
      <c r="F483" s="10"/>
      <c r="G483" s="9"/>
      <c r="H483" s="9"/>
      <c r="I483" s="33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33"/>
      <c r="F484" s="10"/>
      <c r="G484" s="9"/>
      <c r="H484" s="9"/>
      <c r="I484" s="33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33"/>
      <c r="F485" s="10"/>
      <c r="G485" s="9"/>
      <c r="H485" s="9"/>
      <c r="I485" s="33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33"/>
      <c r="F486" s="10"/>
      <c r="G486" s="9"/>
      <c r="H486" s="9"/>
      <c r="I486" s="33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33"/>
      <c r="F487" s="10"/>
      <c r="G487" s="9"/>
      <c r="H487" s="9"/>
      <c r="I487" s="33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33"/>
      <c r="F488" s="10"/>
      <c r="G488" s="9"/>
      <c r="H488" s="9"/>
      <c r="I488" s="33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33"/>
      <c r="F489" s="10"/>
      <c r="G489" s="9"/>
      <c r="H489" s="9"/>
      <c r="I489" s="33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33"/>
      <c r="F490" s="10"/>
      <c r="G490" s="9"/>
      <c r="H490" s="9"/>
      <c r="I490" s="33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33"/>
      <c r="F491" s="10"/>
      <c r="G491" s="9"/>
      <c r="H491" s="9"/>
      <c r="I491" s="33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33"/>
      <c r="F492" s="10"/>
      <c r="G492" s="9"/>
      <c r="H492" s="9"/>
      <c r="I492" s="33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33"/>
      <c r="F493" s="10"/>
      <c r="G493" s="9"/>
      <c r="H493" s="9"/>
      <c r="I493" s="33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33"/>
      <c r="F494" s="10"/>
      <c r="G494" s="9"/>
      <c r="H494" s="9"/>
      <c r="I494" s="33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33"/>
      <c r="F495" s="10"/>
      <c r="G495" s="9"/>
      <c r="H495" s="9"/>
      <c r="I495" s="33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33"/>
      <c r="F496" s="10"/>
      <c r="G496" s="9"/>
      <c r="H496" s="9"/>
      <c r="I496" s="33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33"/>
      <c r="F497" s="10"/>
      <c r="G497" s="9"/>
      <c r="H497" s="9"/>
      <c r="I497" s="33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33"/>
      <c r="F498" s="10"/>
      <c r="G498" s="9"/>
      <c r="H498" s="9"/>
      <c r="I498" s="33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33"/>
      <c r="F499" s="10"/>
      <c r="G499" s="9"/>
      <c r="H499" s="9"/>
      <c r="I499" s="33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33"/>
      <c r="F500" s="10"/>
      <c r="G500" s="9"/>
      <c r="H500" s="9"/>
      <c r="I500" s="33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33"/>
      <c r="F501" s="10"/>
      <c r="G501" s="9"/>
      <c r="H501" s="9"/>
      <c r="I501" s="33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33"/>
      <c r="F502" s="10"/>
      <c r="G502" s="9"/>
      <c r="H502" s="9"/>
      <c r="I502" s="33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33"/>
      <c r="F503" s="10"/>
      <c r="G503" s="9"/>
      <c r="H503" s="9"/>
      <c r="I503" s="33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33"/>
      <c r="F504" s="10"/>
      <c r="G504" s="9"/>
      <c r="H504" s="9"/>
      <c r="I504" s="33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33"/>
      <c r="F505" s="10"/>
      <c r="G505" s="9"/>
      <c r="H505" s="9"/>
      <c r="I505" s="33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33"/>
      <c r="F506" s="10"/>
      <c r="G506" s="9"/>
      <c r="H506" s="9"/>
      <c r="I506" s="33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33"/>
      <c r="F507" s="10"/>
      <c r="G507" s="9"/>
      <c r="H507" s="9"/>
      <c r="I507" s="33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33"/>
      <c r="F508" s="10"/>
      <c r="G508" s="9"/>
      <c r="H508" s="9"/>
      <c r="I508" s="33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33"/>
      <c r="F509" s="10"/>
      <c r="G509" s="9"/>
      <c r="H509" s="9"/>
      <c r="I509" s="33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33"/>
      <c r="F510" s="10"/>
      <c r="G510" s="9"/>
      <c r="H510" s="9"/>
      <c r="I510" s="33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33"/>
      <c r="F511" s="10"/>
      <c r="G511" s="9"/>
      <c r="H511" s="9"/>
      <c r="I511" s="33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33"/>
      <c r="F512" s="10"/>
      <c r="G512" s="9"/>
      <c r="H512" s="9"/>
      <c r="I512" s="33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33"/>
      <c r="F513" s="10"/>
      <c r="G513" s="9"/>
      <c r="H513" s="9"/>
      <c r="I513" s="33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33"/>
      <c r="F514" s="10"/>
      <c r="G514" s="9"/>
      <c r="H514" s="9"/>
      <c r="I514" s="33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33"/>
      <c r="F515" s="10"/>
      <c r="G515" s="9"/>
      <c r="H515" s="9"/>
      <c r="I515" s="33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33"/>
      <c r="F516" s="10"/>
      <c r="G516" s="9"/>
      <c r="H516" s="9"/>
      <c r="I516" s="33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33"/>
      <c r="F517" s="10"/>
      <c r="G517" s="9"/>
      <c r="H517" s="9"/>
      <c r="I517" s="33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33"/>
      <c r="F518" s="10"/>
      <c r="G518" s="9"/>
      <c r="H518" s="9"/>
      <c r="I518" s="33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33"/>
      <c r="F519" s="10"/>
      <c r="G519" s="9"/>
      <c r="H519" s="9"/>
      <c r="I519" s="33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33"/>
      <c r="F520" s="10"/>
      <c r="G520" s="9"/>
      <c r="H520" s="9"/>
      <c r="I520" s="33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33"/>
      <c r="F521" s="10"/>
      <c r="G521" s="9"/>
      <c r="H521" s="9"/>
      <c r="I521" s="33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33"/>
      <c r="F522" s="10"/>
      <c r="G522" s="9"/>
      <c r="H522" s="9"/>
      <c r="I522" s="33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33"/>
      <c r="F523" s="10"/>
      <c r="G523" s="9"/>
      <c r="H523" s="9"/>
      <c r="I523" s="33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33"/>
      <c r="F524" s="10"/>
      <c r="G524" s="9"/>
      <c r="H524" s="9"/>
      <c r="I524" s="33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33"/>
      <c r="F525" s="10"/>
      <c r="G525" s="9"/>
      <c r="H525" s="9"/>
      <c r="I525" s="33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33"/>
      <c r="F526" s="10"/>
      <c r="G526" s="9"/>
      <c r="H526" s="9"/>
      <c r="I526" s="33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33"/>
      <c r="F527" s="10"/>
      <c r="G527" s="9"/>
      <c r="H527" s="9"/>
      <c r="I527" s="33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33"/>
      <c r="F528" s="10"/>
      <c r="G528" s="9"/>
      <c r="H528" s="9"/>
      <c r="I528" s="33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33"/>
      <c r="F529" s="10"/>
      <c r="G529" s="9"/>
      <c r="H529" s="9"/>
      <c r="I529" s="33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33"/>
      <c r="F530" s="10"/>
      <c r="G530" s="9"/>
      <c r="H530" s="9"/>
      <c r="I530" s="33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33"/>
      <c r="F531" s="10"/>
      <c r="G531" s="9"/>
      <c r="H531" s="9"/>
      <c r="I531" s="33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33"/>
      <c r="F532" s="10"/>
      <c r="G532" s="9"/>
      <c r="H532" s="9"/>
      <c r="I532" s="33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33"/>
      <c r="F533" s="10"/>
      <c r="G533" s="9"/>
      <c r="H533" s="9"/>
      <c r="I533" s="33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33"/>
      <c r="F534" s="10"/>
      <c r="G534" s="9"/>
      <c r="H534" s="9"/>
      <c r="I534" s="33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33"/>
      <c r="F535" s="10"/>
      <c r="G535" s="9"/>
      <c r="H535" s="9"/>
      <c r="I535" s="33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33"/>
      <c r="F536" s="10"/>
      <c r="G536" s="9"/>
      <c r="H536" s="9"/>
      <c r="I536" s="33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33"/>
      <c r="F537" s="10"/>
      <c r="G537" s="9"/>
      <c r="H537" s="9"/>
      <c r="I537" s="33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33"/>
      <c r="F538" s="10"/>
      <c r="G538" s="9"/>
      <c r="H538" s="9"/>
      <c r="I538" s="33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33"/>
      <c r="F539" s="10"/>
      <c r="G539" s="9"/>
      <c r="H539" s="9"/>
      <c r="I539" s="33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33"/>
      <c r="F540" s="10"/>
      <c r="G540" s="9"/>
      <c r="H540" s="9"/>
      <c r="I540" s="33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33"/>
      <c r="F541" s="10"/>
      <c r="G541" s="9"/>
      <c r="H541" s="9"/>
      <c r="I541" s="33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33"/>
      <c r="F542" s="10"/>
      <c r="G542" s="9"/>
      <c r="H542" s="9"/>
      <c r="I542" s="33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33"/>
      <c r="F543" s="10"/>
      <c r="G543" s="9"/>
      <c r="H543" s="9"/>
      <c r="I543" s="33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33"/>
      <c r="F544" s="10"/>
      <c r="G544" s="9"/>
      <c r="H544" s="9"/>
      <c r="I544" s="33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33"/>
      <c r="F545" s="10"/>
      <c r="G545" s="9"/>
      <c r="H545" s="9"/>
      <c r="I545" s="33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33"/>
      <c r="F546" s="10"/>
      <c r="G546" s="9"/>
      <c r="H546" s="9"/>
      <c r="I546" s="33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33"/>
      <c r="F547" s="10"/>
      <c r="G547" s="9"/>
      <c r="H547" s="9"/>
      <c r="I547" s="33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33"/>
      <c r="F548" s="10"/>
      <c r="G548" s="9"/>
      <c r="H548" s="9"/>
      <c r="I548" s="33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33"/>
      <c r="F549" s="10"/>
      <c r="G549" s="9"/>
      <c r="H549" s="9"/>
      <c r="I549" s="33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33"/>
      <c r="F550" s="10"/>
      <c r="G550" s="9"/>
      <c r="H550" s="9"/>
      <c r="I550" s="33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33"/>
      <c r="F551" s="10"/>
      <c r="G551" s="9"/>
      <c r="H551" s="9"/>
      <c r="I551" s="33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33"/>
      <c r="F552" s="10"/>
      <c r="G552" s="9"/>
      <c r="H552" s="9"/>
      <c r="I552" s="33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33"/>
      <c r="F553" s="10"/>
      <c r="G553" s="9"/>
      <c r="H553" s="9"/>
      <c r="I553" s="33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33"/>
      <c r="F554" s="10"/>
      <c r="G554" s="9"/>
      <c r="H554" s="9"/>
      <c r="I554" s="33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33"/>
      <c r="F555" s="10"/>
      <c r="G555" s="9"/>
      <c r="H555" s="9"/>
      <c r="I555" s="33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33"/>
      <c r="F556" s="10"/>
      <c r="G556" s="9"/>
      <c r="H556" s="9"/>
      <c r="I556" s="33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33"/>
      <c r="F557" s="10"/>
      <c r="G557" s="9"/>
      <c r="H557" s="9"/>
      <c r="I557" s="33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33"/>
      <c r="F558" s="10"/>
      <c r="G558" s="9"/>
      <c r="H558" s="9"/>
      <c r="I558" s="33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33"/>
      <c r="F559" s="10"/>
      <c r="G559" s="9"/>
      <c r="H559" s="9"/>
      <c r="I559" s="33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33"/>
      <c r="F560" s="10"/>
      <c r="G560" s="9"/>
      <c r="H560" s="9"/>
      <c r="I560" s="33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33"/>
      <c r="F561" s="10"/>
      <c r="G561" s="9"/>
      <c r="H561" s="9"/>
      <c r="I561" s="33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33"/>
      <c r="F562" s="10"/>
      <c r="G562" s="9"/>
      <c r="H562" s="9"/>
      <c r="I562" s="33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33"/>
      <c r="F563" s="10"/>
      <c r="G563" s="9"/>
      <c r="H563" s="9"/>
      <c r="I563" s="33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33"/>
      <c r="F564" s="10"/>
      <c r="G564" s="9"/>
      <c r="H564" s="9"/>
      <c r="I564" s="33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33"/>
      <c r="F565" s="10"/>
      <c r="G565" s="9"/>
      <c r="H565" s="9"/>
      <c r="I565" s="33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33"/>
      <c r="F566" s="10"/>
      <c r="G566" s="9"/>
      <c r="H566" s="9"/>
      <c r="I566" s="33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33"/>
      <c r="F567" s="10"/>
      <c r="G567" s="9"/>
      <c r="H567" s="9"/>
      <c r="I567" s="33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33"/>
      <c r="F568" s="10"/>
      <c r="G568" s="9"/>
      <c r="H568" s="9"/>
      <c r="I568" s="33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33"/>
      <c r="F569" s="10"/>
      <c r="G569" s="9"/>
      <c r="H569" s="9"/>
      <c r="I569" s="33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33"/>
      <c r="F570" s="10"/>
      <c r="G570" s="9"/>
      <c r="H570" s="9"/>
      <c r="I570" s="33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33"/>
      <c r="F571" s="10"/>
      <c r="G571" s="9"/>
      <c r="H571" s="9"/>
      <c r="I571" s="33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33"/>
      <c r="F572" s="10"/>
      <c r="G572" s="9"/>
      <c r="H572" s="9"/>
      <c r="I572" s="33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33"/>
      <c r="F573" s="10"/>
      <c r="G573" s="9"/>
      <c r="H573" s="9"/>
      <c r="I573" s="33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33"/>
      <c r="F574" s="10"/>
      <c r="G574" s="9"/>
      <c r="H574" s="9"/>
      <c r="I574" s="33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33"/>
      <c r="F575" s="10"/>
      <c r="G575" s="9"/>
      <c r="H575" s="9"/>
      <c r="I575" s="33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33"/>
      <c r="F576" s="10"/>
      <c r="G576" s="9"/>
      <c r="H576" s="9"/>
      <c r="I576" s="33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33"/>
      <c r="F577" s="10"/>
      <c r="G577" s="9"/>
      <c r="H577" s="9"/>
      <c r="I577" s="33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33"/>
      <c r="F578" s="10"/>
      <c r="G578" s="9"/>
      <c r="H578" s="9"/>
      <c r="I578" s="33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33"/>
      <c r="F579" s="10"/>
      <c r="G579" s="9"/>
      <c r="H579" s="9"/>
      <c r="I579" s="33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33"/>
      <c r="F580" s="10"/>
      <c r="G580" s="9"/>
      <c r="H580" s="9"/>
      <c r="I580" s="33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33"/>
      <c r="F581" s="10"/>
      <c r="G581" s="9"/>
      <c r="H581" s="9"/>
      <c r="I581" s="33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33"/>
      <c r="F582" s="10"/>
      <c r="G582" s="9"/>
      <c r="H582" s="9"/>
      <c r="I582" s="33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33"/>
      <c r="F583" s="10"/>
      <c r="G583" s="9"/>
      <c r="H583" s="9"/>
      <c r="I583" s="33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33"/>
      <c r="F584" s="10"/>
      <c r="G584" s="9"/>
      <c r="H584" s="9"/>
      <c r="I584" s="33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33"/>
      <c r="F585" s="10"/>
      <c r="G585" s="9"/>
      <c r="H585" s="9"/>
      <c r="I585" s="33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33"/>
      <c r="F586" s="10"/>
      <c r="G586" s="9"/>
      <c r="H586" s="9"/>
      <c r="I586" s="33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33"/>
      <c r="F587" s="10"/>
      <c r="G587" s="9"/>
      <c r="H587" s="9"/>
      <c r="I587" s="33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33"/>
      <c r="F588" s="10"/>
      <c r="G588" s="9"/>
      <c r="H588" s="9"/>
      <c r="I588" s="33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33"/>
      <c r="F589" s="10"/>
      <c r="G589" s="9"/>
      <c r="H589" s="9"/>
      <c r="I589" s="33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33"/>
      <c r="F590" s="10"/>
      <c r="G590" s="9"/>
      <c r="H590" s="9"/>
      <c r="I590" s="33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33"/>
      <c r="F591" s="10"/>
      <c r="G591" s="9"/>
      <c r="H591" s="9"/>
      <c r="I591" s="33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33"/>
      <c r="F592" s="10"/>
      <c r="G592" s="9"/>
      <c r="H592" s="9"/>
      <c r="I592" s="33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33"/>
      <c r="F593" s="10"/>
      <c r="G593" s="9"/>
      <c r="H593" s="9"/>
      <c r="I593" s="33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33"/>
      <c r="F594" s="10"/>
      <c r="G594" s="9"/>
      <c r="H594" s="9"/>
      <c r="I594" s="33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33"/>
      <c r="F595" s="10"/>
      <c r="G595" s="9"/>
      <c r="H595" s="9"/>
      <c r="I595" s="33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33"/>
      <c r="F596" s="10"/>
      <c r="G596" s="9"/>
      <c r="H596" s="9"/>
      <c r="I596" s="33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33"/>
      <c r="F597" s="10"/>
      <c r="G597" s="9"/>
      <c r="H597" s="9"/>
      <c r="I597" s="33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33"/>
      <c r="F598" s="10"/>
      <c r="G598" s="9"/>
      <c r="H598" s="9"/>
      <c r="I598" s="33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33"/>
      <c r="F599" s="10"/>
      <c r="G599" s="9"/>
      <c r="H599" s="9"/>
      <c r="I599" s="33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33"/>
      <c r="F600" s="10"/>
      <c r="G600" s="9"/>
      <c r="H600" s="9"/>
      <c r="I600" s="33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33"/>
      <c r="F601" s="10"/>
      <c r="G601" s="9"/>
      <c r="H601" s="9"/>
      <c r="I601" s="33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33"/>
      <c r="F602" s="10"/>
      <c r="G602" s="9"/>
      <c r="H602" s="9"/>
      <c r="I602" s="33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33"/>
      <c r="F603" s="10"/>
      <c r="G603" s="9"/>
      <c r="H603" s="9"/>
      <c r="I603" s="33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33"/>
      <c r="F604" s="10"/>
      <c r="G604" s="9"/>
      <c r="H604" s="9"/>
      <c r="I604" s="33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33"/>
      <c r="F605" s="10"/>
      <c r="G605" s="9"/>
      <c r="H605" s="9"/>
      <c r="I605" s="33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33"/>
      <c r="F606" s="10"/>
      <c r="G606" s="9"/>
      <c r="H606" s="9"/>
      <c r="I606" s="33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33"/>
      <c r="F607" s="10"/>
      <c r="G607" s="9"/>
      <c r="H607" s="9"/>
      <c r="I607" s="33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33"/>
      <c r="F608" s="10"/>
      <c r="G608" s="9"/>
      <c r="H608" s="9"/>
      <c r="I608" s="33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33"/>
      <c r="F609" s="10"/>
      <c r="G609" s="9"/>
      <c r="H609" s="9"/>
      <c r="I609" s="33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33"/>
      <c r="F610" s="10"/>
      <c r="G610" s="9"/>
      <c r="H610" s="9"/>
      <c r="I610" s="33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33"/>
      <c r="F611" s="10"/>
      <c r="G611" s="9"/>
      <c r="H611" s="9"/>
      <c r="I611" s="33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33"/>
      <c r="F612" s="10"/>
      <c r="G612" s="9"/>
      <c r="H612" s="9"/>
      <c r="I612" s="33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33"/>
      <c r="F613" s="10"/>
      <c r="G613" s="9"/>
      <c r="H613" s="9"/>
      <c r="I613" s="33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33"/>
      <c r="F614" s="10"/>
      <c r="G614" s="9"/>
      <c r="H614" s="9"/>
      <c r="I614" s="33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33"/>
      <c r="F615" s="10"/>
      <c r="G615" s="9"/>
      <c r="H615" s="9"/>
      <c r="I615" s="33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33"/>
      <c r="F616" s="10"/>
      <c r="G616" s="9"/>
      <c r="H616" s="9"/>
      <c r="I616" s="33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33"/>
      <c r="F617" s="10"/>
      <c r="G617" s="9"/>
      <c r="H617" s="9"/>
      <c r="I617" s="33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33"/>
      <c r="F618" s="10"/>
      <c r="G618" s="9"/>
      <c r="H618" s="9"/>
      <c r="I618" s="33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33"/>
      <c r="F619" s="10"/>
      <c r="G619" s="9"/>
      <c r="H619" s="9"/>
      <c r="I619" s="33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33"/>
      <c r="F620" s="10"/>
      <c r="G620" s="9"/>
      <c r="H620" s="9"/>
      <c r="I620" s="33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33"/>
      <c r="F621" s="10"/>
      <c r="G621" s="9"/>
      <c r="H621" s="9"/>
      <c r="I621" s="33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33"/>
      <c r="F622" s="10"/>
      <c r="G622" s="9"/>
      <c r="H622" s="9"/>
      <c r="I622" s="33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33"/>
      <c r="F623" s="10"/>
      <c r="G623" s="9"/>
      <c r="H623" s="9"/>
      <c r="I623" s="33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33"/>
      <c r="F624" s="10"/>
      <c r="G624" s="9"/>
      <c r="H624" s="9"/>
      <c r="I624" s="33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33"/>
      <c r="F625" s="10"/>
      <c r="G625" s="9"/>
      <c r="H625" s="9"/>
      <c r="I625" s="33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33"/>
      <c r="F626" s="10"/>
      <c r="G626" s="9"/>
      <c r="H626" s="9"/>
      <c r="I626" s="33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33"/>
      <c r="F627" s="10"/>
      <c r="G627" s="9"/>
      <c r="H627" s="9"/>
      <c r="I627" s="33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33"/>
      <c r="F628" s="10"/>
      <c r="G628" s="9"/>
      <c r="H628" s="9"/>
      <c r="I628" s="33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33"/>
      <c r="F629" s="10"/>
      <c r="G629" s="9"/>
      <c r="H629" s="9"/>
      <c r="I629" s="33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33"/>
      <c r="F630" s="10"/>
      <c r="G630" s="9"/>
      <c r="H630" s="9"/>
      <c r="I630" s="33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33"/>
      <c r="F631" s="10"/>
      <c r="G631" s="9"/>
      <c r="H631" s="9"/>
      <c r="I631" s="33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33"/>
      <c r="F632" s="10"/>
      <c r="G632" s="9"/>
      <c r="H632" s="9"/>
      <c r="I632" s="33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33"/>
      <c r="F633" s="10"/>
      <c r="G633" s="9"/>
      <c r="H633" s="9"/>
      <c r="I633" s="33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33"/>
      <c r="F634" s="10"/>
      <c r="G634" s="9"/>
      <c r="H634" s="9"/>
      <c r="I634" s="33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33"/>
      <c r="F635" s="10"/>
      <c r="G635" s="9"/>
      <c r="H635" s="9"/>
      <c r="I635" s="33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33"/>
      <c r="F636" s="10"/>
      <c r="G636" s="9"/>
      <c r="H636" s="9"/>
      <c r="I636" s="33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33"/>
      <c r="F637" s="10"/>
      <c r="G637" s="9"/>
      <c r="H637" s="9"/>
      <c r="I637" s="33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33"/>
      <c r="F638" s="10"/>
      <c r="G638" s="9"/>
      <c r="H638" s="9"/>
      <c r="I638" s="33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33"/>
      <c r="F639" s="10"/>
      <c r="G639" s="9"/>
      <c r="H639" s="9"/>
      <c r="I639" s="33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33"/>
      <c r="F640" s="10"/>
      <c r="G640" s="9"/>
      <c r="H640" s="9"/>
      <c r="I640" s="33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33"/>
      <c r="F641" s="10"/>
      <c r="G641" s="9"/>
      <c r="H641" s="9"/>
      <c r="I641" s="33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33"/>
      <c r="F642" s="10"/>
      <c r="G642" s="9"/>
      <c r="H642" s="9"/>
      <c r="I642" s="33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33"/>
      <c r="F643" s="10"/>
      <c r="G643" s="9"/>
      <c r="H643" s="9"/>
      <c r="I643" s="33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33"/>
      <c r="F644" s="10"/>
      <c r="G644" s="9"/>
      <c r="H644" s="9"/>
      <c r="I644" s="33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33"/>
      <c r="F645" s="10"/>
      <c r="G645" s="9"/>
      <c r="H645" s="9"/>
      <c r="I645" s="33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33"/>
      <c r="F646" s="10"/>
      <c r="G646" s="9"/>
      <c r="H646" s="9"/>
      <c r="I646" s="33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33"/>
      <c r="F647" s="10"/>
      <c r="G647" s="9"/>
      <c r="H647" s="9"/>
      <c r="I647" s="33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33"/>
      <c r="F648" s="10"/>
      <c r="G648" s="9"/>
      <c r="H648" s="9"/>
      <c r="I648" s="33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33"/>
      <c r="F649" s="10"/>
      <c r="G649" s="9"/>
      <c r="H649" s="9"/>
      <c r="I649" s="33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33"/>
      <c r="F650" s="10"/>
      <c r="G650" s="9"/>
      <c r="H650" s="9"/>
      <c r="I650" s="33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33"/>
      <c r="F651" s="10"/>
      <c r="G651" s="9"/>
      <c r="H651" s="9"/>
      <c r="I651" s="33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33"/>
      <c r="F652" s="10"/>
      <c r="G652" s="9"/>
      <c r="H652" s="9"/>
      <c r="I652" s="33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33"/>
      <c r="F653" s="10"/>
      <c r="G653" s="9"/>
      <c r="H653" s="9"/>
      <c r="I653" s="33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33"/>
      <c r="F654" s="10"/>
      <c r="G654" s="9"/>
      <c r="H654" s="9"/>
      <c r="I654" s="33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33"/>
      <c r="F655" s="10"/>
      <c r="G655" s="9"/>
      <c r="H655" s="9"/>
      <c r="I655" s="33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33"/>
      <c r="F656" s="10"/>
      <c r="G656" s="9"/>
      <c r="H656" s="9"/>
      <c r="I656" s="33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33"/>
      <c r="F657" s="10"/>
      <c r="G657" s="9"/>
      <c r="H657" s="9"/>
      <c r="I657" s="33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33"/>
      <c r="F658" s="10"/>
      <c r="G658" s="9"/>
      <c r="H658" s="9"/>
      <c r="I658" s="33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33"/>
      <c r="F659" s="10"/>
      <c r="G659" s="9"/>
      <c r="H659" s="9"/>
      <c r="I659" s="33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33"/>
      <c r="F660" s="10"/>
      <c r="G660" s="9"/>
      <c r="H660" s="9"/>
      <c r="I660" s="33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33"/>
      <c r="F661" s="10"/>
      <c r="G661" s="9"/>
      <c r="H661" s="9"/>
      <c r="I661" s="33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33"/>
      <c r="F662" s="10"/>
      <c r="G662" s="9"/>
      <c r="H662" s="9"/>
      <c r="I662" s="33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33"/>
      <c r="F663" s="10"/>
      <c r="G663" s="9"/>
      <c r="H663" s="9"/>
      <c r="I663" s="33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33"/>
      <c r="F664" s="10"/>
      <c r="G664" s="9"/>
      <c r="H664" s="9"/>
      <c r="I664" s="33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33"/>
      <c r="F665" s="10"/>
      <c r="G665" s="9"/>
      <c r="H665" s="9"/>
      <c r="I665" s="33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33"/>
      <c r="F666" s="10"/>
      <c r="G666" s="9"/>
      <c r="H666" s="9"/>
      <c r="I666" s="33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33"/>
      <c r="F667" s="10"/>
      <c r="G667" s="9"/>
      <c r="H667" s="9"/>
      <c r="I667" s="33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33"/>
      <c r="F668" s="10"/>
      <c r="G668" s="9"/>
      <c r="H668" s="9"/>
      <c r="I668" s="33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33"/>
      <c r="F669" s="10"/>
      <c r="G669" s="9"/>
      <c r="H669" s="9"/>
      <c r="I669" s="33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33"/>
      <c r="F670" s="10"/>
      <c r="G670" s="9"/>
      <c r="H670" s="9"/>
      <c r="I670" s="33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33"/>
      <c r="F671" s="10"/>
      <c r="G671" s="9"/>
      <c r="H671" s="9"/>
      <c r="I671" s="33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33"/>
      <c r="F672" s="10"/>
      <c r="G672" s="9"/>
      <c r="H672" s="9"/>
      <c r="I672" s="33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33"/>
      <c r="F673" s="10"/>
      <c r="G673" s="9"/>
      <c r="H673" s="9"/>
      <c r="I673" s="33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33"/>
      <c r="F674" s="10"/>
      <c r="G674" s="9"/>
      <c r="H674" s="9"/>
      <c r="I674" s="33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33"/>
      <c r="F675" s="10"/>
      <c r="G675" s="9"/>
      <c r="H675" s="9"/>
      <c r="I675" s="33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33"/>
      <c r="F676" s="10"/>
      <c r="G676" s="9"/>
      <c r="H676" s="9"/>
      <c r="I676" s="33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33"/>
      <c r="F677" s="10"/>
      <c r="G677" s="9"/>
      <c r="H677" s="9"/>
      <c r="I677" s="33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33"/>
      <c r="F678" s="10"/>
      <c r="G678" s="9"/>
      <c r="H678" s="9"/>
      <c r="I678" s="33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33"/>
      <c r="F679" s="10"/>
      <c r="G679" s="9"/>
      <c r="H679" s="9"/>
      <c r="I679" s="33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33"/>
      <c r="F680" s="10"/>
      <c r="G680" s="9"/>
      <c r="H680" s="9"/>
      <c r="I680" s="33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33"/>
      <c r="F681" s="10"/>
      <c r="G681" s="9"/>
      <c r="H681" s="9"/>
      <c r="I681" s="33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33"/>
      <c r="F682" s="10"/>
      <c r="G682" s="9"/>
      <c r="H682" s="9"/>
      <c r="I682" s="33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33"/>
      <c r="F683" s="10"/>
      <c r="G683" s="9"/>
      <c r="H683" s="9"/>
      <c r="I683" s="33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33"/>
      <c r="F684" s="10"/>
      <c r="G684" s="9"/>
      <c r="H684" s="9"/>
      <c r="I684" s="33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33"/>
      <c r="F685" s="10"/>
      <c r="G685" s="9"/>
      <c r="H685" s="9"/>
      <c r="I685" s="33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33"/>
      <c r="F686" s="10"/>
      <c r="G686" s="9"/>
      <c r="H686" s="9"/>
      <c r="I686" s="33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33"/>
      <c r="F687" s="10"/>
      <c r="G687" s="9"/>
      <c r="H687" s="9"/>
      <c r="I687" s="33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33"/>
      <c r="F688" s="10"/>
      <c r="G688" s="9"/>
      <c r="H688" s="9"/>
      <c r="I688" s="33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33"/>
      <c r="F689" s="10"/>
      <c r="G689" s="9"/>
      <c r="H689" s="9"/>
      <c r="I689" s="33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33"/>
      <c r="F690" s="10"/>
      <c r="G690" s="9"/>
      <c r="H690" s="9"/>
      <c r="I690" s="33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33"/>
      <c r="F691" s="10"/>
      <c r="G691" s="9"/>
      <c r="H691" s="9"/>
      <c r="I691" s="33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33"/>
      <c r="F692" s="10"/>
      <c r="G692" s="9"/>
      <c r="H692" s="9"/>
      <c r="I692" s="33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33"/>
      <c r="F693" s="10"/>
      <c r="G693" s="9"/>
      <c r="H693" s="9"/>
      <c r="I693" s="33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33"/>
      <c r="F694" s="10"/>
      <c r="G694" s="9"/>
      <c r="H694" s="9"/>
      <c r="I694" s="33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33"/>
      <c r="F695" s="10"/>
      <c r="G695" s="9"/>
      <c r="H695" s="9"/>
      <c r="I695" s="33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33"/>
      <c r="F696" s="10"/>
      <c r="G696" s="9"/>
      <c r="H696" s="9"/>
      <c r="I696" s="33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33"/>
      <c r="F697" s="10"/>
      <c r="G697" s="9"/>
      <c r="H697" s="9"/>
      <c r="I697" s="33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33"/>
      <c r="F698" s="10"/>
      <c r="G698" s="9"/>
      <c r="H698" s="9"/>
      <c r="I698" s="33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33"/>
      <c r="F699" s="10"/>
      <c r="G699" s="9"/>
      <c r="H699" s="9"/>
      <c r="I699" s="33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33"/>
      <c r="F700" s="10"/>
      <c r="G700" s="9"/>
      <c r="H700" s="9"/>
      <c r="I700" s="33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33"/>
      <c r="F701" s="10"/>
      <c r="G701" s="9"/>
      <c r="H701" s="9"/>
      <c r="I701" s="33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33"/>
      <c r="F702" s="10"/>
      <c r="G702" s="9"/>
      <c r="H702" s="9"/>
      <c r="I702" s="33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33"/>
      <c r="F703" s="10"/>
      <c r="G703" s="9"/>
      <c r="H703" s="9"/>
      <c r="I703" s="33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33"/>
      <c r="F704" s="10"/>
      <c r="G704" s="9"/>
      <c r="H704" s="9"/>
      <c r="I704" s="33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33"/>
      <c r="F705" s="10"/>
      <c r="G705" s="9"/>
      <c r="H705" s="9"/>
      <c r="I705" s="33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33"/>
      <c r="F706" s="10"/>
      <c r="G706" s="9"/>
      <c r="H706" s="9"/>
      <c r="I706" s="33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33"/>
      <c r="F707" s="10"/>
      <c r="G707" s="9"/>
      <c r="H707" s="9"/>
      <c r="I707" s="33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33"/>
      <c r="F708" s="10"/>
      <c r="G708" s="9"/>
      <c r="H708" s="9"/>
      <c r="I708" s="33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33"/>
      <c r="F709" s="10"/>
      <c r="G709" s="9"/>
      <c r="H709" s="9"/>
      <c r="I709" s="33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33"/>
      <c r="F710" s="10"/>
      <c r="G710" s="9"/>
      <c r="H710" s="9"/>
      <c r="I710" s="33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33"/>
      <c r="F711" s="10"/>
      <c r="G711" s="9"/>
      <c r="H711" s="9"/>
      <c r="I711" s="33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33"/>
      <c r="F712" s="10"/>
      <c r="G712" s="9"/>
      <c r="H712" s="9"/>
      <c r="I712" s="33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33"/>
      <c r="F713" s="10"/>
      <c r="G713" s="9"/>
      <c r="H713" s="9"/>
      <c r="I713" s="33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33"/>
      <c r="F714" s="10"/>
      <c r="G714" s="9"/>
      <c r="H714" s="9"/>
      <c r="I714" s="33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33"/>
      <c r="F715" s="10"/>
      <c r="G715" s="9"/>
      <c r="H715" s="9"/>
      <c r="I715" s="33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33"/>
      <c r="F716" s="10"/>
      <c r="G716" s="9"/>
      <c r="H716" s="9"/>
      <c r="I716" s="33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33"/>
      <c r="F717" s="10"/>
      <c r="G717" s="9"/>
      <c r="H717" s="9"/>
      <c r="I717" s="33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33"/>
      <c r="F718" s="10"/>
      <c r="G718" s="9"/>
      <c r="H718" s="9"/>
      <c r="I718" s="33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33"/>
      <c r="F719" s="10"/>
      <c r="G719" s="9"/>
      <c r="H719" s="9"/>
      <c r="I719" s="33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33"/>
      <c r="F720" s="10"/>
      <c r="G720" s="9"/>
      <c r="H720" s="9"/>
      <c r="I720" s="33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33"/>
      <c r="F721" s="10"/>
      <c r="G721" s="9"/>
      <c r="H721" s="9"/>
      <c r="I721" s="33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33"/>
      <c r="F722" s="10"/>
      <c r="G722" s="9"/>
      <c r="H722" s="9"/>
      <c r="I722" s="33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33"/>
      <c r="F723" s="10"/>
      <c r="G723" s="9"/>
      <c r="H723" s="9"/>
      <c r="I723" s="33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33"/>
      <c r="F724" s="10"/>
      <c r="G724" s="9"/>
      <c r="H724" s="9"/>
      <c r="I724" s="33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33"/>
      <c r="F725" s="10"/>
      <c r="G725" s="9"/>
      <c r="H725" s="9"/>
      <c r="I725" s="33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33"/>
      <c r="F726" s="10"/>
      <c r="G726" s="9"/>
      <c r="H726" s="9"/>
      <c r="I726" s="33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33"/>
      <c r="F727" s="10"/>
      <c r="G727" s="9"/>
      <c r="H727" s="9"/>
      <c r="I727" s="33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33"/>
      <c r="F728" s="10"/>
      <c r="G728" s="9"/>
      <c r="H728" s="9"/>
      <c r="I728" s="33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33"/>
      <c r="F729" s="10"/>
      <c r="G729" s="9"/>
      <c r="H729" s="9"/>
      <c r="I729" s="33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33"/>
      <c r="F730" s="10"/>
      <c r="G730" s="9"/>
      <c r="H730" s="9"/>
      <c r="I730" s="33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33"/>
      <c r="F731" s="10"/>
      <c r="G731" s="9"/>
      <c r="H731" s="9"/>
      <c r="I731" s="33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33"/>
      <c r="F732" s="10"/>
      <c r="G732" s="9"/>
      <c r="H732" s="9"/>
      <c r="I732" s="33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33"/>
      <c r="F733" s="10"/>
      <c r="G733" s="9"/>
      <c r="H733" s="9"/>
      <c r="I733" s="33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33"/>
      <c r="F734" s="10"/>
      <c r="G734" s="9"/>
      <c r="H734" s="9"/>
      <c r="I734" s="33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33"/>
      <c r="F735" s="10"/>
      <c r="G735" s="9"/>
      <c r="H735" s="9"/>
      <c r="I735" s="33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33"/>
      <c r="F736" s="10"/>
      <c r="G736" s="9"/>
      <c r="H736" s="9"/>
      <c r="I736" s="33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33"/>
      <c r="F737" s="10"/>
      <c r="G737" s="9"/>
      <c r="H737" s="9"/>
      <c r="I737" s="33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33"/>
      <c r="F738" s="10"/>
      <c r="G738" s="9"/>
      <c r="H738" s="9"/>
      <c r="I738" s="33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33"/>
      <c r="F739" s="10"/>
      <c r="G739" s="9"/>
      <c r="H739" s="9"/>
      <c r="I739" s="33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33"/>
      <c r="F740" s="10"/>
      <c r="G740" s="9"/>
      <c r="H740" s="9"/>
      <c r="I740" s="33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33"/>
      <c r="F741" s="10"/>
      <c r="G741" s="9"/>
      <c r="H741" s="9"/>
      <c r="I741" s="33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33"/>
      <c r="F742" s="10"/>
      <c r="G742" s="9"/>
      <c r="H742" s="9"/>
      <c r="I742" s="33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33"/>
      <c r="F743" s="10"/>
      <c r="G743" s="9"/>
      <c r="H743" s="9"/>
      <c r="I743" s="33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33"/>
      <c r="F744" s="10"/>
      <c r="G744" s="9"/>
      <c r="H744" s="9"/>
      <c r="I744" s="33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33"/>
      <c r="F745" s="10"/>
      <c r="G745" s="9"/>
      <c r="H745" s="9"/>
      <c r="I745" s="33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33"/>
      <c r="F746" s="10"/>
      <c r="G746" s="9"/>
      <c r="H746" s="9"/>
      <c r="I746" s="33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33"/>
      <c r="F747" s="10"/>
      <c r="G747" s="9"/>
      <c r="H747" s="9"/>
      <c r="I747" s="33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33"/>
      <c r="F748" s="10"/>
      <c r="G748" s="9"/>
      <c r="H748" s="9"/>
      <c r="I748" s="33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33"/>
      <c r="F749" s="10"/>
      <c r="G749" s="9"/>
      <c r="H749" s="9"/>
      <c r="I749" s="33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33"/>
      <c r="F750" s="10"/>
      <c r="G750" s="9"/>
      <c r="H750" s="9"/>
      <c r="I750" s="33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33"/>
      <c r="F751" s="10"/>
      <c r="G751" s="9"/>
      <c r="H751" s="9"/>
      <c r="I751" s="33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33"/>
      <c r="F752" s="10"/>
      <c r="G752" s="9"/>
      <c r="H752" s="9"/>
      <c r="I752" s="33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33"/>
      <c r="F753" s="10"/>
      <c r="G753" s="9"/>
      <c r="H753" s="9"/>
      <c r="I753" s="33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33"/>
      <c r="F754" s="10"/>
      <c r="G754" s="9"/>
      <c r="H754" s="9"/>
      <c r="I754" s="33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33"/>
      <c r="F755" s="10"/>
      <c r="G755" s="9"/>
      <c r="H755" s="9"/>
      <c r="I755" s="33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33"/>
      <c r="F756" s="10"/>
      <c r="G756" s="9"/>
      <c r="H756" s="9"/>
      <c r="I756" s="33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33"/>
      <c r="F757" s="10"/>
      <c r="G757" s="9"/>
      <c r="H757" s="9"/>
      <c r="I757" s="33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33"/>
      <c r="F758" s="10"/>
      <c r="G758" s="9"/>
      <c r="H758" s="9"/>
      <c r="I758" s="33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33"/>
      <c r="F759" s="10"/>
      <c r="G759" s="9"/>
      <c r="H759" s="9"/>
      <c r="I759" s="33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33"/>
      <c r="F760" s="10"/>
      <c r="G760" s="9"/>
      <c r="H760" s="9"/>
      <c r="I760" s="33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33"/>
      <c r="F761" s="10"/>
      <c r="G761" s="9"/>
      <c r="H761" s="9"/>
      <c r="I761" s="33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33"/>
      <c r="F762" s="10"/>
      <c r="G762" s="9"/>
      <c r="H762" s="9"/>
      <c r="I762" s="33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33"/>
      <c r="F763" s="10"/>
      <c r="G763" s="9"/>
      <c r="H763" s="9"/>
      <c r="I763" s="33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33"/>
      <c r="F764" s="10"/>
      <c r="G764" s="9"/>
      <c r="H764" s="9"/>
      <c r="I764" s="33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33"/>
      <c r="F765" s="10"/>
      <c r="G765" s="9"/>
      <c r="H765" s="9"/>
      <c r="I765" s="33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33"/>
      <c r="F766" s="10"/>
      <c r="G766" s="9"/>
      <c r="H766" s="9"/>
      <c r="I766" s="33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33"/>
      <c r="F767" s="10"/>
      <c r="G767" s="9"/>
      <c r="H767" s="9"/>
      <c r="I767" s="33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33"/>
      <c r="F768" s="10"/>
      <c r="G768" s="9"/>
      <c r="H768" s="9"/>
      <c r="I768" s="33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33"/>
      <c r="F769" s="10"/>
      <c r="G769" s="9"/>
      <c r="H769" s="9"/>
      <c r="I769" s="33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33"/>
      <c r="F770" s="10"/>
      <c r="G770" s="9"/>
      <c r="H770" s="9"/>
      <c r="I770" s="33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33"/>
      <c r="F771" s="10"/>
      <c r="G771" s="9"/>
      <c r="H771" s="9"/>
      <c r="I771" s="33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33"/>
      <c r="F772" s="10"/>
      <c r="G772" s="9"/>
      <c r="H772" s="9"/>
      <c r="I772" s="33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33"/>
      <c r="F773" s="10"/>
      <c r="G773" s="9"/>
      <c r="H773" s="9"/>
      <c r="I773" s="33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33"/>
      <c r="F774" s="10"/>
      <c r="G774" s="9"/>
      <c r="H774" s="9"/>
      <c r="I774" s="33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33"/>
      <c r="F775" s="10"/>
      <c r="G775" s="9"/>
      <c r="H775" s="9"/>
      <c r="I775" s="33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33"/>
      <c r="F776" s="10"/>
      <c r="G776" s="9"/>
      <c r="H776" s="9"/>
      <c r="I776" s="33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33"/>
      <c r="F777" s="10"/>
      <c r="G777" s="9"/>
      <c r="H777" s="9"/>
      <c r="I777" s="33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33"/>
      <c r="F778" s="10"/>
      <c r="G778" s="9"/>
      <c r="H778" s="9"/>
      <c r="I778" s="33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33"/>
      <c r="F779" s="10"/>
      <c r="G779" s="9"/>
      <c r="H779" s="9"/>
      <c r="I779" s="33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33"/>
      <c r="F780" s="10"/>
      <c r="G780" s="9"/>
      <c r="H780" s="9"/>
      <c r="I780" s="33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33"/>
      <c r="F781" s="10"/>
      <c r="G781" s="9"/>
      <c r="H781" s="9"/>
      <c r="I781" s="33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33"/>
      <c r="F782" s="10"/>
      <c r="G782" s="9"/>
      <c r="H782" s="9"/>
      <c r="I782" s="33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33"/>
      <c r="F783" s="10"/>
      <c r="G783" s="9"/>
      <c r="H783" s="9"/>
      <c r="I783" s="33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33"/>
      <c r="F784" s="10"/>
      <c r="G784" s="9"/>
      <c r="H784" s="9"/>
      <c r="I784" s="33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33"/>
      <c r="F785" s="10"/>
      <c r="G785" s="9"/>
      <c r="H785" s="9"/>
      <c r="I785" s="33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33"/>
      <c r="F786" s="10"/>
      <c r="G786" s="9"/>
      <c r="H786" s="9"/>
      <c r="I786" s="33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33"/>
      <c r="F787" s="10"/>
      <c r="G787" s="9"/>
      <c r="H787" s="9"/>
      <c r="I787" s="33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33"/>
      <c r="F788" s="10"/>
      <c r="G788" s="9"/>
      <c r="H788" s="9"/>
      <c r="I788" s="33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33"/>
      <c r="F789" s="10"/>
      <c r="G789" s="9"/>
      <c r="H789" s="9"/>
      <c r="I789" s="33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33"/>
      <c r="F790" s="10"/>
      <c r="G790" s="9"/>
      <c r="H790" s="9"/>
      <c r="I790" s="33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33"/>
      <c r="F791" s="10"/>
      <c r="G791" s="9"/>
      <c r="H791" s="9"/>
      <c r="I791" s="33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33"/>
      <c r="F792" s="10"/>
      <c r="G792" s="9"/>
      <c r="H792" s="9"/>
      <c r="I792" s="33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33"/>
      <c r="F793" s="10"/>
      <c r="G793" s="9"/>
      <c r="H793" s="9"/>
      <c r="I793" s="33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33"/>
      <c r="F794" s="10"/>
      <c r="G794" s="9"/>
      <c r="H794" s="9"/>
      <c r="I794" s="33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33"/>
      <c r="F795" s="10"/>
      <c r="G795" s="9"/>
      <c r="H795" s="9"/>
      <c r="I795" s="33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33"/>
      <c r="F796" s="10"/>
      <c r="G796" s="9"/>
      <c r="H796" s="9"/>
      <c r="I796" s="33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33"/>
      <c r="F797" s="10"/>
      <c r="G797" s="9"/>
      <c r="H797" s="9"/>
      <c r="I797" s="33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33"/>
      <c r="F798" s="10"/>
      <c r="G798" s="9"/>
      <c r="H798" s="9"/>
      <c r="I798" s="33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33"/>
      <c r="F799" s="10"/>
      <c r="G799" s="9"/>
      <c r="H799" s="9"/>
      <c r="I799" s="33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33"/>
      <c r="F800" s="10"/>
      <c r="G800" s="9"/>
      <c r="H800" s="9"/>
      <c r="I800" s="33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33"/>
      <c r="F801" s="10"/>
      <c r="G801" s="9"/>
      <c r="H801" s="9"/>
      <c r="I801" s="33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33"/>
      <c r="F802" s="10"/>
      <c r="G802" s="9"/>
      <c r="H802" s="9"/>
      <c r="I802" s="33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33"/>
      <c r="F803" s="10"/>
      <c r="G803" s="9"/>
      <c r="H803" s="9"/>
      <c r="I803" s="33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33"/>
      <c r="F804" s="10"/>
      <c r="G804" s="9"/>
      <c r="H804" s="9"/>
      <c r="I804" s="33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33"/>
      <c r="F805" s="10"/>
      <c r="G805" s="9"/>
      <c r="H805" s="9"/>
      <c r="I805" s="33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33"/>
      <c r="F806" s="10"/>
      <c r="G806" s="9"/>
      <c r="H806" s="9"/>
      <c r="I806" s="33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33"/>
      <c r="F807" s="10"/>
      <c r="G807" s="9"/>
      <c r="H807" s="9"/>
      <c r="I807" s="33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33"/>
      <c r="F808" s="10"/>
      <c r="G808" s="9"/>
      <c r="H808" s="9"/>
      <c r="I808" s="33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33"/>
      <c r="F809" s="10"/>
      <c r="G809" s="9"/>
      <c r="H809" s="9"/>
      <c r="I809" s="33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33"/>
      <c r="F810" s="10"/>
      <c r="G810" s="9"/>
      <c r="H810" s="9"/>
      <c r="I810" s="33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33"/>
      <c r="F811" s="10"/>
      <c r="G811" s="9"/>
      <c r="H811" s="9"/>
      <c r="I811" s="33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33"/>
      <c r="F812" s="10"/>
      <c r="G812" s="9"/>
      <c r="H812" s="9"/>
      <c r="I812" s="33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33"/>
      <c r="F813" s="10"/>
      <c r="G813" s="9"/>
      <c r="H813" s="9"/>
      <c r="I813" s="33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33"/>
      <c r="F814" s="10"/>
      <c r="G814" s="9"/>
      <c r="H814" s="9"/>
      <c r="I814" s="33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33"/>
      <c r="F815" s="10"/>
      <c r="G815" s="9"/>
      <c r="H815" s="9"/>
      <c r="I815" s="33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33"/>
      <c r="F816" s="10"/>
      <c r="G816" s="9"/>
      <c r="H816" s="9"/>
      <c r="I816" s="33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33"/>
      <c r="F817" s="10"/>
      <c r="G817" s="9"/>
      <c r="H817" s="9"/>
      <c r="I817" s="33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33"/>
      <c r="F818" s="10"/>
      <c r="G818" s="9"/>
      <c r="H818" s="9"/>
      <c r="I818" s="33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33"/>
      <c r="F819" s="10"/>
      <c r="G819" s="9"/>
      <c r="H819" s="9"/>
      <c r="I819" s="33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33"/>
      <c r="F820" s="10"/>
      <c r="G820" s="9"/>
      <c r="H820" s="9"/>
      <c r="I820" s="33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33"/>
      <c r="F821" s="10"/>
      <c r="G821" s="9"/>
      <c r="H821" s="9"/>
      <c r="I821" s="33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33"/>
      <c r="F822" s="10"/>
      <c r="G822" s="9"/>
      <c r="H822" s="9"/>
      <c r="I822" s="33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33"/>
      <c r="F823" s="10"/>
      <c r="G823" s="9"/>
      <c r="H823" s="9"/>
      <c r="I823" s="33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33"/>
      <c r="F824" s="10"/>
      <c r="G824" s="9"/>
      <c r="H824" s="9"/>
      <c r="I824" s="33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33"/>
      <c r="F825" s="10"/>
      <c r="G825" s="9"/>
      <c r="H825" s="9"/>
      <c r="I825" s="33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33"/>
      <c r="F826" s="10"/>
      <c r="G826" s="9"/>
      <c r="H826" s="9"/>
      <c r="I826" s="33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33"/>
      <c r="F827" s="10"/>
      <c r="G827" s="9"/>
      <c r="H827" s="9"/>
      <c r="I827" s="33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33"/>
      <c r="F828" s="10"/>
      <c r="G828" s="9"/>
      <c r="H828" s="9"/>
      <c r="I828" s="33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33"/>
      <c r="F829" s="10"/>
      <c r="G829" s="9"/>
      <c r="H829" s="9"/>
      <c r="I829" s="33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33"/>
      <c r="F830" s="10"/>
      <c r="G830" s="9"/>
      <c r="H830" s="9"/>
      <c r="I830" s="33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33"/>
      <c r="F831" s="10"/>
      <c r="G831" s="9"/>
      <c r="H831" s="9"/>
      <c r="I831" s="33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33"/>
      <c r="F832" s="10"/>
      <c r="G832" s="9"/>
      <c r="H832" s="9"/>
      <c r="I832" s="33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33"/>
      <c r="F833" s="10"/>
      <c r="G833" s="9"/>
      <c r="H833" s="9"/>
      <c r="I833" s="33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33"/>
      <c r="F834" s="10"/>
      <c r="G834" s="9"/>
      <c r="H834" s="9"/>
      <c r="I834" s="33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33"/>
      <c r="F835" s="10"/>
      <c r="G835" s="9"/>
      <c r="H835" s="9"/>
      <c r="I835" s="33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33"/>
      <c r="F836" s="10"/>
      <c r="G836" s="9"/>
      <c r="H836" s="9"/>
      <c r="I836" s="33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33"/>
      <c r="F837" s="10"/>
      <c r="G837" s="9"/>
      <c r="H837" s="9"/>
      <c r="I837" s="33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33"/>
      <c r="F838" s="10"/>
      <c r="G838" s="9"/>
      <c r="H838" s="9"/>
      <c r="I838" s="33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33"/>
      <c r="F839" s="10"/>
      <c r="G839" s="9"/>
      <c r="H839" s="9"/>
      <c r="I839" s="33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33"/>
      <c r="F840" s="10"/>
      <c r="G840" s="9"/>
      <c r="H840" s="9"/>
      <c r="I840" s="33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33"/>
      <c r="F841" s="10"/>
      <c r="G841" s="9"/>
      <c r="H841" s="9"/>
      <c r="I841" s="33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33"/>
      <c r="F842" s="10"/>
      <c r="G842" s="9"/>
      <c r="H842" s="9"/>
      <c r="I842" s="33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33"/>
      <c r="F843" s="10"/>
      <c r="G843" s="9"/>
      <c r="H843" s="9"/>
      <c r="I843" s="33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33"/>
      <c r="F844" s="10"/>
      <c r="G844" s="9"/>
      <c r="H844" s="9"/>
      <c r="I844" s="33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33"/>
      <c r="F845" s="10"/>
      <c r="G845" s="9"/>
      <c r="H845" s="9"/>
      <c r="I845" s="33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33"/>
      <c r="F846" s="10"/>
      <c r="G846" s="9"/>
      <c r="H846" s="9"/>
      <c r="I846" s="33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33"/>
      <c r="F847" s="10"/>
      <c r="G847" s="9"/>
      <c r="H847" s="9"/>
      <c r="I847" s="33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33"/>
      <c r="F848" s="10"/>
      <c r="G848" s="9"/>
      <c r="H848" s="9"/>
      <c r="I848" s="33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33"/>
      <c r="F849" s="10"/>
      <c r="G849" s="9"/>
      <c r="H849" s="9"/>
      <c r="I849" s="33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33"/>
      <c r="F850" s="10"/>
      <c r="G850" s="9"/>
      <c r="H850" s="9"/>
      <c r="I850" s="33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33"/>
      <c r="F851" s="10"/>
      <c r="G851" s="9"/>
      <c r="H851" s="9"/>
      <c r="I851" s="33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33"/>
      <c r="F852" s="10"/>
      <c r="G852" s="9"/>
      <c r="H852" s="9"/>
      <c r="I852" s="33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33"/>
      <c r="F853" s="10"/>
      <c r="G853" s="9"/>
      <c r="H853" s="9"/>
      <c r="I853" s="33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33"/>
      <c r="F854" s="10"/>
      <c r="G854" s="9"/>
      <c r="H854" s="9"/>
      <c r="I854" s="33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33"/>
      <c r="F855" s="10"/>
      <c r="G855" s="9"/>
      <c r="H855" s="9"/>
      <c r="I855" s="33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33"/>
      <c r="F856" s="10"/>
      <c r="G856" s="9"/>
      <c r="H856" s="9"/>
      <c r="I856" s="33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33"/>
      <c r="F857" s="10"/>
      <c r="G857" s="9"/>
      <c r="H857" s="9"/>
      <c r="I857" s="33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33"/>
      <c r="F858" s="10"/>
      <c r="G858" s="9"/>
      <c r="H858" s="9"/>
      <c r="I858" s="33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33"/>
      <c r="F859" s="10"/>
      <c r="G859" s="9"/>
      <c r="H859" s="9"/>
      <c r="I859" s="33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33"/>
      <c r="F860" s="10"/>
      <c r="G860" s="9"/>
      <c r="H860" s="9"/>
      <c r="I860" s="33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33"/>
      <c r="F861" s="10"/>
      <c r="G861" s="9"/>
      <c r="H861" s="9"/>
      <c r="I861" s="33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33"/>
      <c r="F862" s="10"/>
      <c r="G862" s="9"/>
      <c r="H862" s="9"/>
      <c r="I862" s="33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33"/>
      <c r="F863" s="10"/>
      <c r="G863" s="9"/>
      <c r="H863" s="9"/>
      <c r="I863" s="33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33"/>
      <c r="F864" s="10"/>
      <c r="G864" s="9"/>
      <c r="H864" s="9"/>
      <c r="I864" s="33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33"/>
      <c r="F865" s="10"/>
      <c r="G865" s="9"/>
      <c r="H865" s="9"/>
      <c r="I865" s="33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33"/>
      <c r="F866" s="10"/>
      <c r="G866" s="9"/>
      <c r="H866" s="9"/>
      <c r="I866" s="33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33"/>
      <c r="F867" s="10"/>
      <c r="G867" s="9"/>
      <c r="H867" s="9"/>
      <c r="I867" s="33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33"/>
      <c r="F868" s="10"/>
      <c r="G868" s="9"/>
      <c r="H868" s="9"/>
      <c r="I868" s="33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33"/>
      <c r="F869" s="10"/>
      <c r="G869" s="9"/>
      <c r="H869" s="9"/>
      <c r="I869" s="33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33"/>
      <c r="F870" s="10"/>
      <c r="G870" s="9"/>
      <c r="H870" s="9"/>
      <c r="I870" s="33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33"/>
      <c r="F871" s="10"/>
      <c r="G871" s="9"/>
      <c r="H871" s="9"/>
      <c r="I871" s="33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33"/>
      <c r="F872" s="10"/>
      <c r="G872" s="9"/>
      <c r="H872" s="9"/>
      <c r="I872" s="33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33"/>
      <c r="F873" s="10"/>
      <c r="G873" s="9"/>
      <c r="H873" s="9"/>
      <c r="I873" s="33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33"/>
      <c r="F874" s="10"/>
      <c r="G874" s="9"/>
      <c r="H874" s="9"/>
      <c r="I874" s="33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33"/>
      <c r="F875" s="10"/>
      <c r="G875" s="9"/>
      <c r="H875" s="9"/>
      <c r="I875" s="33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33"/>
      <c r="F876" s="10"/>
      <c r="G876" s="9"/>
      <c r="H876" s="9"/>
      <c r="I876" s="33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33"/>
      <c r="F877" s="10"/>
      <c r="G877" s="9"/>
      <c r="H877" s="9"/>
      <c r="I877" s="33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33"/>
      <c r="F878" s="10"/>
      <c r="G878" s="9"/>
      <c r="H878" s="9"/>
      <c r="I878" s="33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33"/>
      <c r="F879" s="10"/>
      <c r="G879" s="9"/>
      <c r="H879" s="9"/>
      <c r="I879" s="33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33"/>
      <c r="F880" s="10"/>
      <c r="G880" s="9"/>
      <c r="H880" s="9"/>
      <c r="I880" s="33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33"/>
      <c r="F881" s="10"/>
      <c r="G881" s="9"/>
      <c r="H881" s="9"/>
      <c r="I881" s="33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33"/>
      <c r="F882" s="10"/>
      <c r="G882" s="9"/>
      <c r="H882" s="9"/>
      <c r="I882" s="33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33"/>
      <c r="F883" s="10"/>
      <c r="G883" s="9"/>
      <c r="H883" s="9"/>
      <c r="I883" s="33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33"/>
      <c r="F884" s="10"/>
      <c r="G884" s="9"/>
      <c r="H884" s="9"/>
      <c r="I884" s="33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33"/>
      <c r="F885" s="10"/>
      <c r="G885" s="9"/>
      <c r="H885" s="9"/>
      <c r="I885" s="33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33"/>
      <c r="F886" s="10"/>
      <c r="G886" s="9"/>
      <c r="H886" s="9"/>
      <c r="I886" s="33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33"/>
      <c r="F887" s="10"/>
      <c r="G887" s="9"/>
      <c r="H887" s="9"/>
      <c r="I887" s="33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33"/>
      <c r="F888" s="10"/>
      <c r="G888" s="9"/>
      <c r="H888" s="9"/>
      <c r="I888" s="33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33"/>
      <c r="F889" s="10"/>
      <c r="G889" s="9"/>
      <c r="H889" s="9"/>
      <c r="I889" s="33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33"/>
      <c r="F890" s="10"/>
      <c r="G890" s="9"/>
      <c r="H890" s="9"/>
      <c r="I890" s="33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33"/>
      <c r="F891" s="10"/>
      <c r="G891" s="9"/>
      <c r="H891" s="9"/>
      <c r="I891" s="33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33"/>
      <c r="F892" s="10"/>
      <c r="G892" s="9"/>
      <c r="H892" s="9"/>
      <c r="I892" s="33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33"/>
      <c r="F893" s="10"/>
      <c r="G893" s="9"/>
      <c r="H893" s="9"/>
      <c r="I893" s="33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33"/>
      <c r="F894" s="10"/>
      <c r="G894" s="9"/>
      <c r="H894" s="9"/>
      <c r="I894" s="33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33"/>
      <c r="F895" s="10"/>
      <c r="G895" s="9"/>
      <c r="H895" s="9"/>
      <c r="I895" s="33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33"/>
      <c r="F896" s="10"/>
      <c r="G896" s="9"/>
      <c r="H896" s="9"/>
      <c r="I896" s="33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33"/>
      <c r="F897" s="10"/>
      <c r="G897" s="9"/>
      <c r="H897" s="9"/>
      <c r="I897" s="33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33"/>
      <c r="F898" s="10"/>
      <c r="G898" s="9"/>
      <c r="H898" s="9"/>
      <c r="I898" s="33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33"/>
      <c r="F899" s="10"/>
      <c r="G899" s="9"/>
      <c r="H899" s="9"/>
      <c r="I899" s="33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33"/>
      <c r="F900" s="10"/>
      <c r="G900" s="9"/>
      <c r="H900" s="9"/>
      <c r="I900" s="33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33"/>
      <c r="F901" s="10"/>
      <c r="G901" s="9"/>
      <c r="H901" s="9"/>
      <c r="I901" s="33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33"/>
      <c r="F902" s="10"/>
      <c r="G902" s="9"/>
      <c r="H902" s="9"/>
      <c r="I902" s="33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33"/>
      <c r="F903" s="10"/>
      <c r="G903" s="9"/>
      <c r="H903" s="9"/>
      <c r="I903" s="33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33"/>
      <c r="F904" s="10"/>
      <c r="G904" s="9"/>
      <c r="H904" s="9"/>
      <c r="I904" s="33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33"/>
      <c r="F905" s="10"/>
      <c r="G905" s="9"/>
      <c r="H905" s="9"/>
      <c r="I905" s="33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33"/>
      <c r="F906" s="10"/>
      <c r="G906" s="9"/>
      <c r="H906" s="9"/>
      <c r="I906" s="33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33"/>
      <c r="F907" s="10"/>
      <c r="G907" s="9"/>
      <c r="H907" s="9"/>
      <c r="I907" s="33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33"/>
      <c r="F908" s="10"/>
      <c r="G908" s="9"/>
      <c r="H908" s="9"/>
      <c r="I908" s="33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33"/>
      <c r="F909" s="10"/>
      <c r="G909" s="9"/>
      <c r="H909" s="9"/>
      <c r="I909" s="33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33"/>
      <c r="F910" s="10"/>
      <c r="G910" s="9"/>
      <c r="H910" s="9"/>
      <c r="I910" s="33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33"/>
      <c r="F911" s="10"/>
      <c r="G911" s="9"/>
      <c r="H911" s="9"/>
      <c r="I911" s="33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33"/>
      <c r="F912" s="10"/>
      <c r="G912" s="9"/>
      <c r="H912" s="9"/>
      <c r="I912" s="33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33"/>
      <c r="F913" s="10"/>
      <c r="G913" s="9"/>
      <c r="H913" s="9"/>
      <c r="I913" s="33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33"/>
      <c r="F914" s="10"/>
      <c r="G914" s="9"/>
      <c r="H914" s="9"/>
      <c r="I914" s="33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33"/>
      <c r="F915" s="10"/>
      <c r="G915" s="9"/>
      <c r="H915" s="9"/>
      <c r="I915" s="33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33"/>
      <c r="F916" s="10"/>
      <c r="G916" s="9"/>
      <c r="H916" s="9"/>
      <c r="I916" s="33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33"/>
      <c r="F917" s="10"/>
      <c r="G917" s="9"/>
      <c r="H917" s="9"/>
      <c r="I917" s="33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33"/>
      <c r="F918" s="10"/>
      <c r="G918" s="9"/>
      <c r="H918" s="9"/>
      <c r="I918" s="33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33"/>
      <c r="F919" s="10"/>
      <c r="G919" s="9"/>
      <c r="H919" s="9"/>
      <c r="I919" s="33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33"/>
      <c r="F920" s="10"/>
      <c r="G920" s="9"/>
      <c r="H920" s="9"/>
      <c r="I920" s="33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33"/>
      <c r="F921" s="10"/>
      <c r="G921" s="9"/>
      <c r="H921" s="9"/>
      <c r="I921" s="33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33"/>
      <c r="F922" s="10"/>
      <c r="G922" s="9"/>
      <c r="H922" s="9"/>
      <c r="I922" s="33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33"/>
      <c r="F923" s="10"/>
      <c r="G923" s="9"/>
      <c r="H923" s="9"/>
      <c r="I923" s="33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33"/>
      <c r="F924" s="10"/>
      <c r="G924" s="9"/>
      <c r="H924" s="9"/>
      <c r="I924" s="33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33"/>
      <c r="F925" s="10"/>
      <c r="G925" s="9"/>
      <c r="H925" s="9"/>
      <c r="I925" s="33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33"/>
      <c r="F926" s="10"/>
      <c r="G926" s="9"/>
      <c r="H926" s="9"/>
      <c r="I926" s="33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33"/>
      <c r="F927" s="10"/>
      <c r="G927" s="9"/>
      <c r="H927" s="9"/>
      <c r="I927" s="33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33"/>
      <c r="F928" s="10"/>
      <c r="G928" s="9"/>
      <c r="H928" s="9"/>
      <c r="I928" s="33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33"/>
      <c r="F929" s="10"/>
      <c r="G929" s="9"/>
      <c r="H929" s="9"/>
      <c r="I929" s="33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33"/>
      <c r="F930" s="10"/>
      <c r="G930" s="9"/>
      <c r="H930" s="9"/>
      <c r="I930" s="33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33"/>
      <c r="F931" s="10"/>
      <c r="G931" s="9"/>
      <c r="H931" s="9"/>
      <c r="I931" s="33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33"/>
      <c r="F932" s="10"/>
      <c r="G932" s="9"/>
      <c r="H932" s="9"/>
      <c r="I932" s="33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33"/>
      <c r="F933" s="10"/>
      <c r="G933" s="9"/>
      <c r="H933" s="9"/>
      <c r="I933" s="33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33"/>
      <c r="F934" s="10"/>
      <c r="G934" s="9"/>
      <c r="H934" s="9"/>
      <c r="I934" s="33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33"/>
      <c r="F935" s="10"/>
      <c r="G935" s="9"/>
      <c r="H935" s="9"/>
      <c r="I935" s="33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33"/>
      <c r="F936" s="10"/>
      <c r="G936" s="9"/>
      <c r="H936" s="9"/>
      <c r="I936" s="33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33"/>
      <c r="F937" s="10"/>
      <c r="G937" s="9"/>
      <c r="H937" s="9"/>
      <c r="I937" s="33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33"/>
      <c r="F938" s="10"/>
      <c r="G938" s="9"/>
      <c r="H938" s="9"/>
      <c r="I938" s="33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33"/>
      <c r="F939" s="10"/>
      <c r="G939" s="9"/>
      <c r="H939" s="9"/>
      <c r="I939" s="33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33"/>
      <c r="F940" s="10"/>
      <c r="G940" s="9"/>
      <c r="H940" s="9"/>
      <c r="I940" s="33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33"/>
      <c r="F941" s="10"/>
      <c r="G941" s="9"/>
      <c r="H941" s="9"/>
      <c r="I941" s="33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33"/>
      <c r="F942" s="10"/>
      <c r="G942" s="9"/>
      <c r="H942" s="9"/>
      <c r="I942" s="33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33"/>
      <c r="F943" s="10"/>
      <c r="G943" s="9"/>
      <c r="H943" s="9"/>
      <c r="I943" s="33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33"/>
      <c r="F944" s="10"/>
      <c r="G944" s="9"/>
      <c r="H944" s="9"/>
      <c r="I944" s="33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33"/>
      <c r="F945" s="10"/>
      <c r="G945" s="9"/>
      <c r="H945" s="9"/>
      <c r="I945" s="33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33"/>
      <c r="F946" s="10"/>
      <c r="G946" s="9"/>
      <c r="H946" s="9"/>
      <c r="I946" s="33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33"/>
      <c r="F947" s="10"/>
      <c r="G947" s="9"/>
      <c r="H947" s="9"/>
      <c r="I947" s="33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33"/>
      <c r="F948" s="10"/>
      <c r="G948" s="9"/>
      <c r="H948" s="9"/>
      <c r="I948" s="33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33"/>
      <c r="F949" s="10"/>
      <c r="G949" s="9"/>
      <c r="H949" s="9"/>
      <c r="I949" s="33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33"/>
      <c r="F950" s="10"/>
      <c r="G950" s="9"/>
      <c r="H950" s="9"/>
      <c r="I950" s="33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33"/>
      <c r="F951" s="10"/>
      <c r="G951" s="9"/>
      <c r="H951" s="9"/>
      <c r="I951" s="33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33"/>
      <c r="F952" s="10"/>
      <c r="G952" s="9"/>
      <c r="H952" s="9"/>
      <c r="I952" s="33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33"/>
      <c r="F953" s="10"/>
      <c r="G953" s="9"/>
      <c r="H953" s="9"/>
      <c r="I953" s="33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33"/>
      <c r="F954" s="10"/>
      <c r="G954" s="9"/>
      <c r="H954" s="9"/>
      <c r="I954" s="33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33"/>
      <c r="F955" s="10"/>
      <c r="G955" s="9"/>
      <c r="H955" s="9"/>
      <c r="I955" s="33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33"/>
      <c r="F956" s="10"/>
      <c r="G956" s="9"/>
      <c r="H956" s="9"/>
      <c r="I956" s="33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33"/>
      <c r="F957" s="10"/>
      <c r="G957" s="9"/>
      <c r="H957" s="9"/>
      <c r="I957" s="33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33"/>
      <c r="F958" s="10"/>
      <c r="G958" s="9"/>
      <c r="H958" s="9"/>
      <c r="I958" s="33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33"/>
      <c r="F959" s="10"/>
      <c r="G959" s="9"/>
      <c r="H959" s="9"/>
      <c r="I959" s="33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33"/>
      <c r="F960" s="10"/>
      <c r="G960" s="9"/>
      <c r="H960" s="9"/>
      <c r="I960" s="33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33"/>
      <c r="F961" s="10"/>
      <c r="G961" s="9"/>
      <c r="H961" s="9"/>
      <c r="I961" s="33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33"/>
      <c r="F962" s="10"/>
      <c r="G962" s="9"/>
      <c r="H962" s="9"/>
      <c r="I962" s="33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33"/>
      <c r="F963" s="10"/>
      <c r="G963" s="9"/>
      <c r="H963" s="9"/>
      <c r="I963" s="33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33"/>
      <c r="F964" s="10"/>
      <c r="G964" s="9"/>
      <c r="H964" s="9"/>
      <c r="I964" s="33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33"/>
      <c r="F965" s="10"/>
      <c r="G965" s="9"/>
      <c r="H965" s="9"/>
      <c r="I965" s="33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33"/>
      <c r="F966" s="10"/>
      <c r="G966" s="9"/>
      <c r="H966" s="9"/>
      <c r="I966" s="33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33"/>
      <c r="F967" s="10"/>
      <c r="G967" s="9"/>
      <c r="H967" s="9"/>
      <c r="I967" s="33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33"/>
      <c r="F968" s="10"/>
      <c r="G968" s="9"/>
      <c r="H968" s="9"/>
      <c r="I968" s="33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33"/>
      <c r="F969" s="10"/>
      <c r="G969" s="9"/>
      <c r="H969" s="9"/>
      <c r="I969" s="33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33"/>
      <c r="F970" s="10"/>
      <c r="G970" s="9"/>
      <c r="H970" s="9"/>
      <c r="I970" s="33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33"/>
      <c r="F971" s="10"/>
      <c r="G971" s="9"/>
      <c r="H971" s="9"/>
      <c r="I971" s="33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33"/>
      <c r="F972" s="10"/>
      <c r="G972" s="9"/>
      <c r="H972" s="9"/>
      <c r="I972" s="33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33"/>
      <c r="F973" s="10"/>
      <c r="G973" s="9"/>
      <c r="H973" s="9"/>
      <c r="I973" s="33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33"/>
      <c r="F974" s="10"/>
      <c r="G974" s="9"/>
      <c r="H974" s="9"/>
      <c r="I974" s="33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33"/>
      <c r="F975" s="10"/>
      <c r="G975" s="9"/>
      <c r="H975" s="9"/>
      <c r="I975" s="33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33"/>
      <c r="F976" s="10"/>
      <c r="G976" s="9"/>
      <c r="H976" s="9"/>
      <c r="I976" s="33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33"/>
      <c r="F977" s="10"/>
      <c r="G977" s="9"/>
      <c r="H977" s="9"/>
      <c r="I977" s="33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33"/>
      <c r="F978" s="10"/>
      <c r="G978" s="9"/>
      <c r="H978" s="9"/>
      <c r="I978" s="33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33"/>
      <c r="F979" s="10"/>
      <c r="G979" s="9"/>
      <c r="H979" s="9"/>
      <c r="I979" s="33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33"/>
      <c r="F980" s="10"/>
      <c r="G980" s="9"/>
      <c r="H980" s="9"/>
      <c r="I980" s="33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33"/>
      <c r="F981" s="10"/>
      <c r="G981" s="9"/>
      <c r="H981" s="9"/>
      <c r="I981" s="33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33"/>
      <c r="F982" s="10"/>
      <c r="G982" s="9"/>
      <c r="H982" s="9"/>
      <c r="I982" s="33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33"/>
      <c r="F983" s="10"/>
      <c r="G983" s="9"/>
      <c r="H983" s="9"/>
      <c r="I983" s="33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33"/>
      <c r="F984" s="10"/>
      <c r="G984" s="9"/>
      <c r="H984" s="9"/>
      <c r="I984" s="33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33"/>
      <c r="F985" s="10"/>
      <c r="G985" s="9"/>
      <c r="H985" s="9"/>
      <c r="I985" s="33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33"/>
      <c r="F986" s="10"/>
      <c r="G986" s="9"/>
      <c r="H986" s="9"/>
      <c r="I986" s="33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33"/>
      <c r="F987" s="10"/>
      <c r="G987" s="9"/>
      <c r="H987" s="9"/>
      <c r="I987" s="33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33"/>
      <c r="F988" s="10"/>
      <c r="G988" s="9"/>
      <c r="H988" s="9"/>
      <c r="I988" s="33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33"/>
      <c r="F989" s="10"/>
      <c r="G989" s="9"/>
      <c r="H989" s="9"/>
      <c r="I989" s="33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33"/>
      <c r="F990" s="10"/>
      <c r="G990" s="9"/>
      <c r="H990" s="9"/>
      <c r="I990" s="33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33"/>
      <c r="F991" s="10"/>
      <c r="G991" s="9"/>
      <c r="H991" s="9"/>
      <c r="I991" s="33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33"/>
      <c r="F992" s="10"/>
      <c r="G992" s="9"/>
      <c r="H992" s="9"/>
      <c r="I992" s="33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33"/>
      <c r="F993" s="10"/>
      <c r="G993" s="9"/>
      <c r="H993" s="9"/>
      <c r="I993" s="33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33"/>
      <c r="F994" s="10"/>
      <c r="G994" s="9"/>
      <c r="H994" s="9"/>
      <c r="I994" s="33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33"/>
      <c r="F995" s="10"/>
      <c r="G995" s="9"/>
      <c r="H995" s="9"/>
      <c r="I995" s="33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33"/>
      <c r="F996" s="10"/>
      <c r="G996" s="9"/>
      <c r="H996" s="9"/>
      <c r="I996" s="33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33"/>
      <c r="F997" s="10"/>
      <c r="G997" s="9"/>
      <c r="H997" s="9"/>
      <c r="I997" s="33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33"/>
      <c r="F998" s="10"/>
      <c r="G998" s="9"/>
      <c r="H998" s="9"/>
      <c r="I998" s="33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33"/>
      <c r="F999" s="10"/>
      <c r="G999" s="9"/>
      <c r="H999" s="9"/>
      <c r="I999" s="33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33"/>
      <c r="F1000" s="10"/>
      <c r="G1000" s="9"/>
      <c r="H1000" s="9"/>
      <c r="I1000" s="33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mergeCells count="2">
    <mergeCell ref="A1:A2"/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32" t="s">
        <v>17</v>
      </c>
      <c r="C1" s="37" t="s">
        <v>18</v>
      </c>
      <c r="G1" s="37" t="s">
        <v>18</v>
      </c>
    </row>
    <row r="2">
      <c r="A2" s="32" t="s">
        <v>19</v>
      </c>
      <c r="B2" s="32" t="s">
        <v>17</v>
      </c>
    </row>
    <row r="3">
      <c r="A3" s="32" t="s">
        <v>20</v>
      </c>
      <c r="B3" s="32" t="s">
        <v>17</v>
      </c>
    </row>
    <row r="4">
      <c r="A4" s="32" t="s">
        <v>21</v>
      </c>
      <c r="B4" s="32" t="s">
        <v>17</v>
      </c>
    </row>
    <row r="5">
      <c r="A5" s="32" t="s">
        <v>22</v>
      </c>
      <c r="B5" s="32" t="s">
        <v>17</v>
      </c>
    </row>
    <row r="6">
      <c r="A6" s="32" t="s">
        <v>23</v>
      </c>
      <c r="B6" s="32" t="s">
        <v>17</v>
      </c>
    </row>
    <row r="7">
      <c r="A7" s="32" t="s">
        <v>24</v>
      </c>
      <c r="B7" s="32" t="s">
        <v>17</v>
      </c>
    </row>
    <row r="8">
      <c r="A8" s="32" t="s">
        <v>25</v>
      </c>
      <c r="B8" s="32" t="s">
        <v>17</v>
      </c>
    </row>
    <row r="9">
      <c r="A9" s="32" t="s">
        <v>26</v>
      </c>
      <c r="B9" s="32" t="s">
        <v>17</v>
      </c>
    </row>
    <row r="10">
      <c r="A10" s="32" t="s">
        <v>27</v>
      </c>
      <c r="B10" s="32" t="s">
        <v>17</v>
      </c>
    </row>
    <row r="11">
      <c r="A11" s="32" t="s">
        <v>28</v>
      </c>
      <c r="B11" s="32" t="s">
        <v>17</v>
      </c>
    </row>
    <row r="12">
      <c r="A12" s="32" t="s">
        <v>29</v>
      </c>
      <c r="B12" s="32" t="s">
        <v>17</v>
      </c>
    </row>
    <row r="13">
      <c r="A13" s="32" t="s">
        <v>30</v>
      </c>
      <c r="B13" s="32" t="s">
        <v>17</v>
      </c>
    </row>
    <row r="14">
      <c r="A14" s="32" t="s">
        <v>31</v>
      </c>
      <c r="B14" s="32" t="s">
        <v>17</v>
      </c>
    </row>
    <row r="15">
      <c r="A15" s="32" t="s">
        <v>32</v>
      </c>
      <c r="B15" s="32" t="s">
        <v>17</v>
      </c>
    </row>
    <row r="16">
      <c r="A16" s="32" t="s">
        <v>33</v>
      </c>
      <c r="B16" s="32" t="s">
        <v>17</v>
      </c>
    </row>
    <row r="17">
      <c r="A17" s="32" t="s">
        <v>34</v>
      </c>
      <c r="B17" s="32" t="s">
        <v>17</v>
      </c>
    </row>
    <row r="18">
      <c r="A18" s="32" t="s">
        <v>35</v>
      </c>
      <c r="B18" s="32" t="s">
        <v>17</v>
      </c>
    </row>
    <row r="19">
      <c r="A19" s="32" t="s">
        <v>36</v>
      </c>
      <c r="B19" s="32" t="s">
        <v>17</v>
      </c>
    </row>
    <row r="20">
      <c r="A20" s="32" t="s">
        <v>37</v>
      </c>
      <c r="B20" s="32" t="s">
        <v>17</v>
      </c>
    </row>
    <row r="21">
      <c r="A21" s="32" t="s">
        <v>38</v>
      </c>
      <c r="B21" s="32" t="s">
        <v>17</v>
      </c>
    </row>
    <row r="22">
      <c r="A22" s="32" t="s">
        <v>39</v>
      </c>
      <c r="B22" s="32" t="s">
        <v>17</v>
      </c>
    </row>
    <row r="23">
      <c r="A23" s="32" t="s">
        <v>40</v>
      </c>
      <c r="B23" s="32" t="s">
        <v>17</v>
      </c>
    </row>
    <row r="24">
      <c r="A24" s="32" t="s">
        <v>41</v>
      </c>
      <c r="B24" s="32" t="s">
        <v>17</v>
      </c>
    </row>
    <row r="25">
      <c r="A25" s="32" t="s">
        <v>42</v>
      </c>
      <c r="B25" s="32" t="s">
        <v>17</v>
      </c>
    </row>
    <row r="26">
      <c r="A26" s="32" t="s">
        <v>43</v>
      </c>
      <c r="B26" s="32" t="s">
        <v>17</v>
      </c>
    </row>
    <row r="27">
      <c r="A27" s="32" t="s">
        <v>44</v>
      </c>
      <c r="B27" s="32" t="s">
        <v>17</v>
      </c>
    </row>
    <row r="28">
      <c r="A28" s="32" t="s">
        <v>45</v>
      </c>
      <c r="B28" s="32" t="s">
        <v>17</v>
      </c>
    </row>
    <row r="29">
      <c r="A29" s="32" t="s">
        <v>46</v>
      </c>
      <c r="B29" s="32" t="s">
        <v>17</v>
      </c>
    </row>
    <row r="30">
      <c r="A30" s="32" t="s">
        <v>47</v>
      </c>
      <c r="B30" s="32" t="s">
        <v>17</v>
      </c>
    </row>
    <row r="31">
      <c r="A31" s="32" t="s">
        <v>48</v>
      </c>
      <c r="B31" s="32" t="s">
        <v>17</v>
      </c>
    </row>
  </sheetData>
  <drawing r:id="rId1"/>
</worksheet>
</file>