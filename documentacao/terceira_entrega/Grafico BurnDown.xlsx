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ira Sprint" sheetId="1" r:id="rId4"/>
    <sheet state="visible" name="Segunda Sprint" sheetId="2" r:id="rId5"/>
    <sheet state="visible" name="Terceira Sprint" sheetId="3" r:id="rId6"/>
    <sheet state="visible" name="Quarta sprint" sheetId="4" r:id="rId7"/>
    <sheet state="visible" name="Padrão" sheetId="5" r:id="rId8"/>
    <sheet state="visible" name="Cópia de Padrão" sheetId="6" r:id="rId9"/>
  </sheets>
  <definedNames/>
  <calcPr/>
</workbook>
</file>

<file path=xl/sharedStrings.xml><?xml version="1.0" encoding="utf-8"?>
<sst xmlns="http://schemas.openxmlformats.org/spreadsheetml/2006/main" count="42" uniqueCount="9">
  <si>
    <t>Indice</t>
  </si>
  <si>
    <t>Primeira Sprint - Total de Horas:</t>
  </si>
  <si>
    <t>Números de Dias</t>
  </si>
  <si>
    <t>Dias da Sprint</t>
  </si>
  <si>
    <t>Tempo Restantante Uniforme (Horas)</t>
  </si>
  <si>
    <t>Quantidade de Horas feita no dia(Horas Estimadas)</t>
  </si>
  <si>
    <t>Quantidade Restantes de Horas(Horas Estimadas)</t>
  </si>
  <si>
    <t>Segunda - Total de Horas:</t>
  </si>
  <si>
    <t>Terceira Sprint - Total de Horas: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</si>
</sst>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8">
    <font>
      <sz val="10.0"/>
      <color rgb="FF000000"/>
      <name val="Arial"/>
    </font>
    <font>
      <color theme="1"/>
      <name val="Arial"/>
    </font>
    <font>
      <color rgb="FFFFFFFF"/>
      <name val="Comfortaa"/>
    </font>
    <font/>
    <font>
      <color rgb="FFFFFFFF"/>
      <name val="Courier New"/>
    </font>
    <font>
      <color rgb="FF000000"/>
      <name val="Comfortaa"/>
    </font>
    <font>
      <color rgb="FF000000"/>
      <name val="Arial"/>
    </font>
    <font>
      <sz val="11.0"/>
      <color rgb="FF000000"/>
      <name val="Comfortaa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999999"/>
      </righ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1" xfId="0" applyAlignment="1" applyBorder="1" applyFill="1" applyFont="1" applyNumberFormat="1">
      <alignment horizontal="center" readingOrder="0" vertical="center"/>
    </xf>
    <xf borderId="2" fillId="2" fontId="2" numFmtId="1" xfId="0" applyAlignment="1" applyBorder="1" applyFont="1" applyNumberFormat="1">
      <alignment horizontal="center" readingOrder="0" vertical="center"/>
    </xf>
    <xf borderId="3" fillId="0" fontId="3" numFmtId="0" xfId="0" applyBorder="1" applyFont="1"/>
    <xf borderId="4" fillId="2" fontId="2" numFmtId="1" xfId="0" applyAlignment="1" applyBorder="1" applyFont="1" applyNumberFormat="1">
      <alignment horizontal="left" readingOrder="0" vertical="center"/>
    </xf>
    <xf borderId="4" fillId="2" fontId="2" numFmtId="1" xfId="0" applyAlignment="1" applyBorder="1" applyFont="1" applyNumberFormat="1">
      <alignment horizontal="center" readingOrder="0" vertical="center"/>
    </xf>
    <xf borderId="5" fillId="0" fontId="3" numFmtId="0" xfId="0" applyBorder="1" applyFont="1"/>
    <xf borderId="6" fillId="2" fontId="2" numFmtId="1" xfId="0" applyAlignment="1" applyBorder="1" applyFont="1" applyNumberFormat="1">
      <alignment horizontal="center" readingOrder="0" vertical="center"/>
    </xf>
    <xf borderId="7" fillId="2" fontId="2" numFmtId="1" xfId="0" applyAlignment="1" applyBorder="1" applyFont="1" applyNumberFormat="1">
      <alignment horizontal="center" readingOrder="0" shrinkToFit="0" vertical="center" wrapText="1"/>
    </xf>
    <xf borderId="8" fillId="2" fontId="2" numFmtId="1" xfId="0" applyAlignment="1" applyBorder="1" applyFont="1" applyNumberFormat="1">
      <alignment horizontal="center" readingOrder="0" shrinkToFit="0" vertical="center" wrapText="1"/>
    </xf>
    <xf borderId="0" fillId="2" fontId="4" numFmtId="1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8" fillId="0" fontId="5" numFmtId="1" xfId="0" applyAlignment="1" applyBorder="1" applyFont="1" applyNumberFormat="1">
      <alignment horizontal="center" readingOrder="0" vertical="center"/>
    </xf>
    <xf borderId="8" fillId="0" fontId="5" numFmtId="164" xfId="0" applyAlignment="1" applyBorder="1" applyFont="1" applyNumberFormat="1">
      <alignment horizontal="center" readingOrder="0" vertical="center"/>
    </xf>
    <xf borderId="8" fillId="0" fontId="5" numFmtId="1" xfId="0" applyAlignment="1" applyBorder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8" fillId="3" fontId="7" numFmtId="1" xfId="0" applyAlignment="1" applyBorder="1" applyFill="1" applyFont="1" applyNumberFormat="1">
      <alignment horizontal="center" vertical="center"/>
    </xf>
    <xf borderId="9" fillId="2" fontId="2" numFmtId="1" xfId="0" applyAlignment="1" applyBorder="1" applyFont="1" applyNumberFormat="1">
      <alignment horizontal="center" readingOrder="0" shrinkToFit="0" vertical="center" wrapText="1"/>
    </xf>
    <xf borderId="2" fillId="0" fontId="5" numFmtId="1" xfId="0" applyAlignment="1" applyBorder="1" applyFont="1" applyNumberFormat="1">
      <alignment horizontal="center" readingOrder="0" vertical="center"/>
    </xf>
    <xf borderId="10" fillId="0" fontId="1" numFmtId="1" xfId="0" applyAlignment="1" applyBorder="1" applyFont="1" applyNumberFormat="1">
      <alignment horizontal="center"/>
    </xf>
    <xf borderId="11" fillId="0" fontId="5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BurnDown: Primeira Sprint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'Primeira Sprint'!$C$2:$C$3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'Primeira Sprint'!$B$4:$B$38</c:f>
            </c:strRef>
          </c:cat>
          <c:val>
            <c:numRef>
              <c:f>'Primeira Sprint'!$C$4:$C$38</c:f>
              <c:numCache/>
            </c:numRef>
          </c:val>
          <c:smooth val="0"/>
        </c:ser>
        <c:ser>
          <c:idx val="1"/>
          <c:order val="1"/>
          <c:tx>
            <c:strRef>
              <c:f>'Primeira Sprint'!$E$2:$E$3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'Primeira Sprint'!$B$4:$B$38</c:f>
            </c:strRef>
          </c:cat>
          <c:val>
            <c:numRef>
              <c:f>'Primeira Sprint'!$E$4:$E$38</c:f>
              <c:numCache/>
            </c:numRef>
          </c:val>
          <c:smooth val="0"/>
        </c:ser>
        <c:axId val="1289387320"/>
        <c:axId val="1538595398"/>
      </c:lineChart>
      <c:catAx>
        <c:axId val="1289387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 da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538595398"/>
      </c:catAx>
      <c:valAx>
        <c:axId val="1538595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387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BurnDown: Segunda Sprint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'Segunda Sprint'!$C$2:$C$3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'Segunda Sprint'!$B$4:$B$38</c:f>
            </c:strRef>
          </c:cat>
          <c:val>
            <c:numRef>
              <c:f>'Segunda Sprint'!$C$4:$C$38</c:f>
              <c:numCache/>
            </c:numRef>
          </c:val>
          <c:smooth val="0"/>
        </c:ser>
        <c:ser>
          <c:idx val="1"/>
          <c:order val="1"/>
          <c:tx>
            <c:strRef>
              <c:f>'Segunda Sprint'!$E$2:$E$3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'Segunda Sprint'!$B$4:$B$38</c:f>
            </c:strRef>
          </c:cat>
          <c:val>
            <c:numRef>
              <c:f>'Segunda Sprint'!$E$4:$E$38</c:f>
              <c:numCache/>
            </c:numRef>
          </c:val>
          <c:smooth val="0"/>
        </c:ser>
        <c:axId val="675687736"/>
        <c:axId val="151474998"/>
      </c:lineChart>
      <c:catAx>
        <c:axId val="675687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 da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51474998"/>
      </c:catAx>
      <c:valAx>
        <c:axId val="1514749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56877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BurnDown: Terceira Sprint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'Terceira Sprint'!$C$2:$C$3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'Terceira Sprint'!$B$4:$B$38</c:f>
            </c:strRef>
          </c:cat>
          <c:val>
            <c:numRef>
              <c:f>'Terceira Sprint'!$C$4:$C$38</c:f>
              <c:numCache/>
            </c:numRef>
          </c:val>
          <c:smooth val="0"/>
        </c:ser>
        <c:ser>
          <c:idx val="1"/>
          <c:order val="1"/>
          <c:tx>
            <c:strRef>
              <c:f>'Terceira Sprint'!$E$2:$E$3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'Terceira Sprint'!$B$4:$B$38</c:f>
            </c:strRef>
          </c:cat>
          <c:val>
            <c:numRef>
              <c:f>'Terceira Sprint'!$E$4:$E$38</c:f>
              <c:numCache/>
            </c:numRef>
          </c:val>
          <c:smooth val="0"/>
        </c:ser>
        <c:axId val="1443332368"/>
        <c:axId val="907526307"/>
      </c:lineChart>
      <c:catAx>
        <c:axId val="1443332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 da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907526307"/>
      </c:catAx>
      <c:valAx>
        <c:axId val="907526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3323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BurnDown: Quarta Sprint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'Quarta sprint'!$C$2:$C$3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'Quarta sprint'!$B$4:$B$38</c:f>
            </c:strRef>
          </c:cat>
          <c:val>
            <c:numRef>
              <c:f>'Quarta sprint'!$C$4:$C$38</c:f>
              <c:numCache/>
            </c:numRef>
          </c:val>
          <c:smooth val="0"/>
        </c:ser>
        <c:ser>
          <c:idx val="1"/>
          <c:order val="1"/>
          <c:tx>
            <c:strRef>
              <c:f>'Quarta sprint'!$E$2:$E$3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'Quarta sprint'!$B$4:$B$38</c:f>
            </c:strRef>
          </c:cat>
          <c:val>
            <c:numRef>
              <c:f>'Quarta sprint'!$E$4:$E$38</c:f>
              <c:numCache/>
            </c:numRef>
          </c:val>
          <c:smooth val="0"/>
        </c:ser>
        <c:axId val="869094806"/>
        <c:axId val="1342087990"/>
      </c:lineChart>
      <c:catAx>
        <c:axId val="869094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 da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342087990"/>
      </c:catAx>
      <c:valAx>
        <c:axId val="1342087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094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BurnDown: Primeira Sprint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'Padrão'!$C$2:$C$3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'Padrão'!$B$4:$B$38</c:f>
            </c:strRef>
          </c:cat>
          <c:val>
            <c:numRef>
              <c:f>'Padrão'!$C$4:$C$38</c:f>
              <c:numCache/>
            </c:numRef>
          </c:val>
          <c:smooth val="0"/>
        </c:ser>
        <c:ser>
          <c:idx val="1"/>
          <c:order val="1"/>
          <c:tx>
            <c:strRef>
              <c:f>'Padrão'!$E$2:$E$3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'Padrão'!$B$4:$B$38</c:f>
            </c:strRef>
          </c:cat>
          <c:val>
            <c:numRef>
              <c:f>'Padrão'!$E$4:$E$38</c:f>
              <c:numCache/>
            </c:numRef>
          </c:val>
          <c:smooth val="0"/>
        </c:ser>
        <c:axId val="619926"/>
        <c:axId val="560929561"/>
      </c:lineChart>
      <c:catAx>
        <c:axId val="619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 da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560929561"/>
      </c:catAx>
      <c:valAx>
        <c:axId val="560929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BurnDown: Primeira Sprint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'Cópia de Padrão'!$C$2:$C$3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'Cópia de Padrão'!$B$4:$B$38</c:f>
            </c:strRef>
          </c:cat>
          <c:val>
            <c:numRef>
              <c:f>'Cópia de Padrão'!$C$4:$C$38</c:f>
              <c:numCache/>
            </c:numRef>
          </c:val>
          <c:smooth val="0"/>
        </c:ser>
        <c:ser>
          <c:idx val="1"/>
          <c:order val="1"/>
          <c:tx>
            <c:strRef>
              <c:f>'Cópia de Padrão'!$E$2:$E$3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'Cópia de Padrão'!$B$4:$B$38</c:f>
            </c:strRef>
          </c:cat>
          <c:val>
            <c:numRef>
              <c:f>'Cópia de Padrão'!$E$4:$E$38</c:f>
              <c:numCache/>
            </c:numRef>
          </c:val>
          <c:smooth val="0"/>
        </c:ser>
        <c:axId val="777176576"/>
        <c:axId val="2093553236"/>
      </c:lineChart>
      <c:catAx>
        <c:axId val="777176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 da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2093553236"/>
      </c:catAx>
      <c:valAx>
        <c:axId val="2093553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176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3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3</xdr:row>
      <xdr:rowOff>47625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3</xdr:row>
      <xdr:rowOff>180975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3</xdr:row>
      <xdr:rowOff>180975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3</xdr:row>
      <xdr:rowOff>180975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3</xdr:row>
      <xdr:rowOff>180975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18.29"/>
    <col customWidth="1" min="3" max="3" width="29.57"/>
    <col customWidth="1" min="4" max="4" width="33.29"/>
    <col customWidth="1" min="5" max="5" width="28.29"/>
    <col customWidth="1" min="6" max="6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1.5" customHeight="1">
      <c r="A2" s="2" t="s">
        <v>0</v>
      </c>
      <c r="B2" s="3" t="s">
        <v>1</v>
      </c>
      <c r="C2" s="4"/>
      <c r="D2" s="5">
        <v>63.0</v>
      </c>
      <c r="E2" s="3" t="s">
        <v>2</v>
      </c>
      <c r="F2" s="6">
        <v>14.0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5.5" customHeight="1">
      <c r="A3" s="7"/>
      <c r="B3" s="8" t="s">
        <v>3</v>
      </c>
      <c r="C3" s="9" t="s">
        <v>4</v>
      </c>
      <c r="D3" s="10" t="s">
        <v>5</v>
      </c>
      <c r="E3" s="10" t="s">
        <v>6</v>
      </c>
      <c r="F3" s="11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3">
        <f t="shared" ref="A4:A18" si="1">ROW()-3</f>
        <v>1</v>
      </c>
      <c r="B4" s="14">
        <v>44374.0</v>
      </c>
      <c r="C4" s="15">
        <f>(F2-ROW()+4)*D2/F2</f>
        <v>63</v>
      </c>
      <c r="D4" s="13"/>
      <c r="E4" s="15">
        <f>D2</f>
        <v>63</v>
      </c>
      <c r="F4" s="16"/>
      <c r="G4" s="1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3">
        <f t="shared" si="1"/>
        <v>2</v>
      </c>
      <c r="B5" s="14">
        <v>44375.0</v>
      </c>
      <c r="C5" s="15">
        <f>(F2-ROW()+4)*D2/F2</f>
        <v>58.5</v>
      </c>
      <c r="D5" s="13"/>
      <c r="E5" s="15">
        <f>D2-D4</f>
        <v>63</v>
      </c>
      <c r="F5" s="16"/>
      <c r="G5" s="1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3">
        <f t="shared" si="1"/>
        <v>3</v>
      </c>
      <c r="B6" s="14">
        <v>44376.0</v>
      </c>
      <c r="C6" s="15">
        <f>(F2-ROW()+4)*D2/F2</f>
        <v>54</v>
      </c>
      <c r="D6" s="13"/>
      <c r="E6" s="15">
        <f t="shared" ref="E6:E17" si="2">E5-D5</f>
        <v>63</v>
      </c>
      <c r="F6" s="16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>
        <f t="shared" si="1"/>
        <v>4</v>
      </c>
      <c r="B7" s="14">
        <v>44377.0</v>
      </c>
      <c r="C7" s="15">
        <f>(F2-ROW()+4)*D2/F2</f>
        <v>49.5</v>
      </c>
      <c r="D7" s="13"/>
      <c r="E7" s="15">
        <f t="shared" si="2"/>
        <v>63</v>
      </c>
      <c r="F7" s="16"/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>
        <f t="shared" si="1"/>
        <v>5</v>
      </c>
      <c r="B8" s="14">
        <v>44378.0</v>
      </c>
      <c r="C8" s="15">
        <f>(F2-ROW()+4)*D2/F2</f>
        <v>45</v>
      </c>
      <c r="D8" s="13">
        <v>11.0</v>
      </c>
      <c r="E8" s="15">
        <f t="shared" si="2"/>
        <v>63</v>
      </c>
      <c r="F8" s="16"/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>
        <f t="shared" si="1"/>
        <v>6</v>
      </c>
      <c r="B9" s="14">
        <v>44379.0</v>
      </c>
      <c r="C9" s="15">
        <f>(F2-ROW()+4)*D2/F2</f>
        <v>40.5</v>
      </c>
      <c r="D9" s="13">
        <v>12.0</v>
      </c>
      <c r="E9" s="15">
        <f t="shared" si="2"/>
        <v>52</v>
      </c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>
        <f t="shared" si="1"/>
        <v>7</v>
      </c>
      <c r="B10" s="14">
        <v>44380.0</v>
      </c>
      <c r="C10" s="15">
        <f>(F2-ROW()+4)*D2/F2</f>
        <v>36</v>
      </c>
      <c r="D10" s="13">
        <v>7.0</v>
      </c>
      <c r="E10" s="15">
        <f t="shared" si="2"/>
        <v>40</v>
      </c>
      <c r="F10" s="16"/>
      <c r="G10" s="1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>
        <f t="shared" si="1"/>
        <v>8</v>
      </c>
      <c r="B11" s="14">
        <v>44381.0</v>
      </c>
      <c r="C11" s="15">
        <f>(F2-ROW()+4)*D2/F2</f>
        <v>31.5</v>
      </c>
      <c r="D11" s="13"/>
      <c r="E11" s="15">
        <f t="shared" si="2"/>
        <v>33</v>
      </c>
      <c r="F11" s="16"/>
      <c r="G11" s="1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3">
        <f t="shared" si="1"/>
        <v>9</v>
      </c>
      <c r="B12" s="14">
        <v>44382.0</v>
      </c>
      <c r="C12" s="15">
        <f>(F2-ROW()+4)*D2/F2</f>
        <v>27</v>
      </c>
      <c r="D12" s="13"/>
      <c r="E12" s="15">
        <f t="shared" si="2"/>
        <v>33</v>
      </c>
      <c r="F12" s="16"/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3">
        <f t="shared" si="1"/>
        <v>10</v>
      </c>
      <c r="B13" s="14">
        <v>44383.0</v>
      </c>
      <c r="C13" s="15">
        <f>(F2-ROW()+4)*D2/F2</f>
        <v>22.5</v>
      </c>
      <c r="D13" s="13"/>
      <c r="E13" s="15">
        <f t="shared" si="2"/>
        <v>33</v>
      </c>
      <c r="F13" s="16"/>
      <c r="G13" s="1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3">
        <f t="shared" si="1"/>
        <v>11</v>
      </c>
      <c r="B14" s="14">
        <v>44384.0</v>
      </c>
      <c r="C14" s="15">
        <f>(F2-ROW()+4)*D2/F2</f>
        <v>18</v>
      </c>
      <c r="D14" s="13"/>
      <c r="E14" s="15">
        <f t="shared" si="2"/>
        <v>33</v>
      </c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3">
        <f t="shared" si="1"/>
        <v>12</v>
      </c>
      <c r="B15" s="14">
        <v>44385.0</v>
      </c>
      <c r="C15" s="15">
        <f>(F2-ROW()+4)*D2/F2</f>
        <v>13.5</v>
      </c>
      <c r="D15" s="13"/>
      <c r="E15" s="15">
        <f t="shared" si="2"/>
        <v>33</v>
      </c>
      <c r="F15" s="16"/>
      <c r="G15" s="1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3">
        <f t="shared" si="1"/>
        <v>13</v>
      </c>
      <c r="B16" s="14">
        <v>44386.0</v>
      </c>
      <c r="C16" s="15">
        <f>(F2-ROW()+4)*D2/F2</f>
        <v>9</v>
      </c>
      <c r="D16" s="13">
        <v>19.0</v>
      </c>
      <c r="E16" s="15">
        <f t="shared" si="2"/>
        <v>33</v>
      </c>
      <c r="F16" s="16"/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3">
        <f t="shared" si="1"/>
        <v>14</v>
      </c>
      <c r="B17" s="14">
        <v>44387.0</v>
      </c>
      <c r="C17" s="15">
        <f>(F2-ROW()+4)*D2/F2</f>
        <v>4.5</v>
      </c>
      <c r="E17" s="15">
        <f t="shared" si="2"/>
        <v>14</v>
      </c>
      <c r="F17" s="16"/>
      <c r="G17" s="1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3">
        <f t="shared" si="1"/>
        <v>15</v>
      </c>
      <c r="B18" s="14">
        <v>44388.0</v>
      </c>
      <c r="C18" s="15">
        <f>(F2-ROW()+4)*D2/F2</f>
        <v>0</v>
      </c>
      <c r="D18" s="13">
        <v>14.0</v>
      </c>
      <c r="E18" s="15">
        <f>E17-D18</f>
        <v>0</v>
      </c>
      <c r="F18" s="16"/>
      <c r="G18" s="1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/>
      <c r="B19" s="14"/>
      <c r="C19" s="17"/>
      <c r="D19" s="13"/>
      <c r="E19" s="15"/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3"/>
      <c r="B20" s="14"/>
      <c r="C20" s="17"/>
      <c r="D20" s="13"/>
      <c r="E20" s="15"/>
      <c r="F20" s="16"/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3"/>
      <c r="B21" s="14"/>
      <c r="C21" s="17"/>
      <c r="D21" s="13"/>
      <c r="E21" s="15"/>
      <c r="F21" s="16"/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3"/>
      <c r="B22" s="14"/>
      <c r="C22" s="17"/>
      <c r="D22" s="13"/>
      <c r="E22" s="15"/>
      <c r="F22" s="16"/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3"/>
      <c r="B23" s="14"/>
      <c r="C23" s="17"/>
      <c r="D23" s="15"/>
      <c r="E23" s="15"/>
      <c r="F23" s="16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3"/>
      <c r="B24" s="14"/>
      <c r="C24" s="17"/>
      <c r="D24" s="15"/>
      <c r="E24" s="15"/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3"/>
      <c r="B25" s="14"/>
      <c r="C25" s="17"/>
      <c r="D25" s="15"/>
      <c r="E25" s="15"/>
      <c r="F25" s="16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"/>
      <c r="B26" s="14"/>
      <c r="C26" s="17"/>
      <c r="D26" s="15"/>
      <c r="E26" s="15"/>
      <c r="F26" s="16"/>
      <c r="G26" s="1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3"/>
      <c r="B27" s="14"/>
      <c r="C27" s="17"/>
      <c r="D27" s="15"/>
      <c r="E27" s="15"/>
      <c r="F27" s="16"/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3"/>
      <c r="B28" s="14"/>
      <c r="C28" s="17"/>
      <c r="D28" s="13"/>
      <c r="E28" s="15"/>
      <c r="F28" s="16"/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3"/>
      <c r="B29" s="14"/>
      <c r="C29" s="17"/>
      <c r="D29" s="15"/>
      <c r="E29" s="15"/>
      <c r="F29" s="16"/>
      <c r="G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3"/>
      <c r="B30" s="14"/>
      <c r="C30" s="17"/>
      <c r="D30" s="15"/>
      <c r="E30" s="15"/>
      <c r="F30" s="16"/>
      <c r="G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3"/>
      <c r="B31" s="14"/>
      <c r="C31" s="17"/>
      <c r="D31" s="15"/>
      <c r="E31" s="15"/>
      <c r="F31" s="16"/>
      <c r="G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3"/>
      <c r="B32" s="14"/>
      <c r="C32" s="17"/>
      <c r="D32" s="15"/>
      <c r="E32" s="15"/>
      <c r="F32" s="16"/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3"/>
      <c r="B33" s="14"/>
      <c r="C33" s="17"/>
      <c r="D33" s="15"/>
      <c r="E33" s="15"/>
      <c r="F33" s="16"/>
      <c r="G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3"/>
      <c r="B34" s="14"/>
      <c r="C34" s="17"/>
      <c r="D34" s="15"/>
      <c r="E34" s="15"/>
      <c r="F34" s="16"/>
      <c r="G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3"/>
      <c r="B35" s="14"/>
      <c r="C35" s="17"/>
      <c r="D35" s="15"/>
      <c r="E35" s="15"/>
      <c r="F35" s="16"/>
      <c r="G35" s="1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3"/>
      <c r="B36" s="14"/>
      <c r="C36" s="17"/>
      <c r="D36" s="15"/>
      <c r="E36" s="15"/>
      <c r="F36" s="16"/>
      <c r="G36" s="1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3"/>
      <c r="B37" s="14"/>
      <c r="C37" s="17"/>
      <c r="D37" s="15"/>
      <c r="E37" s="15"/>
      <c r="F37" s="16"/>
      <c r="G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3"/>
      <c r="B38" s="14"/>
      <c r="C38" s="17"/>
      <c r="D38" s="15"/>
      <c r="E38" s="15"/>
      <c r="F38" s="16"/>
      <c r="G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">
    <mergeCell ref="A2:A3"/>
    <mergeCell ref="B2:C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18.29"/>
    <col customWidth="1" min="3" max="3" width="29.57"/>
    <col customWidth="1" min="4" max="4" width="33.29"/>
    <col customWidth="1" min="5" max="5" width="28.29"/>
    <col customWidth="1" min="6" max="6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1.5" customHeight="1">
      <c r="A2" s="2" t="s">
        <v>0</v>
      </c>
      <c r="B2" s="3" t="s">
        <v>7</v>
      </c>
      <c r="C2" s="4"/>
      <c r="D2" s="5">
        <v>54.0</v>
      </c>
      <c r="E2" s="3" t="s">
        <v>2</v>
      </c>
      <c r="F2" s="6">
        <v>14.0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5.5" customHeight="1">
      <c r="A3" s="7"/>
      <c r="B3" s="8" t="s">
        <v>3</v>
      </c>
      <c r="C3" s="9" t="s">
        <v>4</v>
      </c>
      <c r="D3" s="10" t="s">
        <v>5</v>
      </c>
      <c r="E3" s="18" t="s">
        <v>6</v>
      </c>
      <c r="F3" s="11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3">
        <f t="shared" ref="A4:A18" si="1">ROW()-3</f>
        <v>1</v>
      </c>
      <c r="B4" s="14">
        <v>44403.0</v>
      </c>
      <c r="C4" s="15">
        <f>(F2-ROW()+4)*D2/F2</f>
        <v>54</v>
      </c>
      <c r="D4" s="19"/>
      <c r="E4" s="20">
        <f>D2</f>
        <v>54</v>
      </c>
      <c r="F4" s="16"/>
      <c r="G4" s="1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3">
        <f t="shared" si="1"/>
        <v>2</v>
      </c>
      <c r="B5" s="14">
        <v>44404.0</v>
      </c>
      <c r="C5" s="17">
        <f>(F2-ROW()+4)*D2/F2</f>
        <v>50.14285714</v>
      </c>
      <c r="D5" s="13"/>
      <c r="E5" s="21">
        <f>D2-D4</f>
        <v>54</v>
      </c>
      <c r="F5" s="16"/>
      <c r="G5" s="1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3">
        <f t="shared" si="1"/>
        <v>3</v>
      </c>
      <c r="B6" s="14">
        <v>44405.0</v>
      </c>
      <c r="C6" s="15">
        <f>(F2-ROW()+4)*D2/F2</f>
        <v>46.28571429</v>
      </c>
      <c r="D6" s="13"/>
      <c r="E6" s="15">
        <f t="shared" ref="E6:E9" si="2">E5-D5</f>
        <v>54</v>
      </c>
      <c r="F6" s="16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>
        <f t="shared" si="1"/>
        <v>4</v>
      </c>
      <c r="B7" s="14">
        <v>44406.0</v>
      </c>
      <c r="C7" s="15">
        <f>(F2-ROW()+4)*D2/F2</f>
        <v>42.42857143</v>
      </c>
      <c r="D7" s="13"/>
      <c r="E7" s="15">
        <f t="shared" si="2"/>
        <v>54</v>
      </c>
      <c r="F7" s="16"/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>
        <f t="shared" si="1"/>
        <v>5</v>
      </c>
      <c r="B8" s="14">
        <v>44407.0</v>
      </c>
      <c r="C8" s="15">
        <f>(F2-ROW()+4)*D2/F2</f>
        <v>38.57142857</v>
      </c>
      <c r="D8" s="13"/>
      <c r="E8" s="15">
        <f t="shared" si="2"/>
        <v>54</v>
      </c>
      <c r="F8" s="16"/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>
        <f t="shared" si="1"/>
        <v>6</v>
      </c>
      <c r="B9" s="14">
        <v>44408.0</v>
      </c>
      <c r="C9" s="15">
        <f>(F2-ROW()+4)*D2/F2</f>
        <v>34.71428571</v>
      </c>
      <c r="E9" s="15">
        <f t="shared" si="2"/>
        <v>54</v>
      </c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>
        <f t="shared" si="1"/>
        <v>7</v>
      </c>
      <c r="B10" s="14">
        <v>44409.0</v>
      </c>
      <c r="C10" s="15">
        <f>(F2-ROW()+4)*D2/F2</f>
        <v>30.85714286</v>
      </c>
      <c r="D10" s="13"/>
      <c r="E10" s="15">
        <f t="shared" ref="E10:E18" si="3">E9-D10</f>
        <v>54</v>
      </c>
      <c r="F10" s="16"/>
      <c r="G10" s="1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>
        <f t="shared" si="1"/>
        <v>8</v>
      </c>
      <c r="B11" s="14">
        <v>44410.0</v>
      </c>
      <c r="C11" s="15">
        <f>(F2-ROW()+4)*D2/F2</f>
        <v>27</v>
      </c>
      <c r="D11" s="13"/>
      <c r="E11" s="15">
        <f t="shared" si="3"/>
        <v>54</v>
      </c>
      <c r="F11" s="16"/>
      <c r="G11" s="1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3">
        <f t="shared" si="1"/>
        <v>9</v>
      </c>
      <c r="B12" s="14">
        <v>44411.0</v>
      </c>
      <c r="C12" s="15">
        <f>(F2-ROW()+4)*D2/F2</f>
        <v>23.14285714</v>
      </c>
      <c r="D12" s="13">
        <v>10.0</v>
      </c>
      <c r="E12" s="15">
        <f t="shared" si="3"/>
        <v>44</v>
      </c>
      <c r="F12" s="16"/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3">
        <f t="shared" si="1"/>
        <v>10</v>
      </c>
      <c r="B13" s="14">
        <v>44412.0</v>
      </c>
      <c r="C13" s="15">
        <f>(F2-ROW()+4)*D2/F2</f>
        <v>19.28571429</v>
      </c>
      <c r="D13" s="13"/>
      <c r="E13" s="15">
        <f t="shared" si="3"/>
        <v>44</v>
      </c>
      <c r="F13" s="16"/>
      <c r="G13" s="1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3">
        <f t="shared" si="1"/>
        <v>11</v>
      </c>
      <c r="B14" s="14">
        <v>44413.0</v>
      </c>
      <c r="C14" s="15">
        <f>(F2-ROW()+4)*D2/F2</f>
        <v>15.42857143</v>
      </c>
      <c r="D14" s="13"/>
      <c r="E14" s="15">
        <f t="shared" si="3"/>
        <v>44</v>
      </c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3">
        <f t="shared" si="1"/>
        <v>12</v>
      </c>
      <c r="B15" s="14">
        <v>44414.0</v>
      </c>
      <c r="C15" s="15">
        <f>(F2-ROW()+4)*D2/F2</f>
        <v>11.57142857</v>
      </c>
      <c r="D15" s="13">
        <v>14.0</v>
      </c>
      <c r="E15" s="15">
        <f t="shared" si="3"/>
        <v>30</v>
      </c>
      <c r="F15" s="16"/>
      <c r="G15" s="1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3">
        <f t="shared" si="1"/>
        <v>13</v>
      </c>
      <c r="B16" s="14">
        <v>44415.0</v>
      </c>
      <c r="C16" s="15">
        <f>(F2-ROW()+4)*D2/F2</f>
        <v>7.714285714</v>
      </c>
      <c r="D16" s="13"/>
      <c r="E16" s="15">
        <f t="shared" si="3"/>
        <v>30</v>
      </c>
      <c r="F16" s="16"/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3">
        <f t="shared" si="1"/>
        <v>14</v>
      </c>
      <c r="B17" s="14">
        <v>44416.0</v>
      </c>
      <c r="C17" s="15">
        <f>(F2-ROW()+4)*D2/F2</f>
        <v>3.857142857</v>
      </c>
      <c r="D17" s="13"/>
      <c r="E17" s="15">
        <f t="shared" si="3"/>
        <v>30</v>
      </c>
      <c r="F17" s="16"/>
      <c r="G17" s="1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3">
        <f t="shared" si="1"/>
        <v>15</v>
      </c>
      <c r="B18" s="14">
        <v>44417.0</v>
      </c>
      <c r="C18" s="17">
        <f>(F2-ROW()+4)*D2/F2</f>
        <v>0</v>
      </c>
      <c r="D18" s="13"/>
      <c r="E18" s="15">
        <f t="shared" si="3"/>
        <v>30</v>
      </c>
      <c r="F18" s="16"/>
      <c r="G18" s="1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/>
      <c r="B19" s="14"/>
      <c r="C19" s="17"/>
      <c r="D19" s="13"/>
      <c r="E19" s="15"/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3"/>
      <c r="B20" s="14"/>
      <c r="C20" s="17"/>
      <c r="D20" s="13"/>
      <c r="E20" s="15"/>
      <c r="F20" s="16"/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3"/>
      <c r="B21" s="14"/>
      <c r="C21" s="17"/>
      <c r="D21" s="13"/>
      <c r="E21" s="15"/>
      <c r="F21" s="16"/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3"/>
      <c r="B22" s="14"/>
      <c r="C22" s="17"/>
      <c r="D22" s="13"/>
      <c r="E22" s="15"/>
      <c r="F22" s="16"/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3"/>
      <c r="B23" s="14"/>
      <c r="C23" s="17"/>
      <c r="D23" s="15"/>
      <c r="E23" s="15"/>
      <c r="F23" s="16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3"/>
      <c r="B24" s="14"/>
      <c r="C24" s="17"/>
      <c r="D24" s="15"/>
      <c r="E24" s="15"/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3"/>
      <c r="B25" s="14"/>
      <c r="C25" s="17"/>
      <c r="D25" s="15"/>
      <c r="E25" s="15"/>
      <c r="F25" s="16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"/>
      <c r="B26" s="14"/>
      <c r="C26" s="17"/>
      <c r="D26" s="15"/>
      <c r="E26" s="15"/>
      <c r="F26" s="16"/>
      <c r="G26" s="1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3"/>
      <c r="B27" s="14"/>
      <c r="C27" s="17"/>
      <c r="D27" s="15"/>
      <c r="E27" s="15"/>
      <c r="F27" s="16"/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3"/>
      <c r="B28" s="14"/>
      <c r="C28" s="17"/>
      <c r="D28" s="13"/>
      <c r="E28" s="15"/>
      <c r="F28" s="16"/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3"/>
      <c r="B29" s="14"/>
      <c r="C29" s="17"/>
      <c r="D29" s="15"/>
      <c r="E29" s="15"/>
      <c r="F29" s="16"/>
      <c r="G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3"/>
      <c r="B30" s="14"/>
      <c r="C30" s="17"/>
      <c r="D30" s="15"/>
      <c r="E30" s="15"/>
      <c r="F30" s="16"/>
      <c r="G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3"/>
      <c r="B31" s="14"/>
      <c r="C31" s="17"/>
      <c r="D31" s="15"/>
      <c r="E31" s="15"/>
      <c r="F31" s="16"/>
      <c r="G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3"/>
      <c r="B32" s="14"/>
      <c r="C32" s="17"/>
      <c r="D32" s="15"/>
      <c r="E32" s="15"/>
      <c r="F32" s="16"/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3"/>
      <c r="B33" s="14"/>
      <c r="C33" s="17"/>
      <c r="D33" s="15"/>
      <c r="E33" s="15"/>
      <c r="F33" s="16"/>
      <c r="G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3"/>
      <c r="B34" s="14"/>
      <c r="C34" s="17"/>
      <c r="D34" s="15"/>
      <c r="E34" s="15"/>
      <c r="F34" s="16"/>
      <c r="G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3"/>
      <c r="B35" s="14"/>
      <c r="C35" s="17"/>
      <c r="D35" s="15"/>
      <c r="E35" s="15"/>
      <c r="F35" s="16"/>
      <c r="G35" s="1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3"/>
      <c r="B36" s="14"/>
      <c r="C36" s="17"/>
      <c r="D36" s="15"/>
      <c r="E36" s="15"/>
      <c r="F36" s="16"/>
      <c r="G36" s="1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3"/>
      <c r="B37" s="14"/>
      <c r="C37" s="17"/>
      <c r="D37" s="15"/>
      <c r="E37" s="15"/>
      <c r="F37" s="16"/>
      <c r="G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3"/>
      <c r="B38" s="14"/>
      <c r="C38" s="17"/>
      <c r="D38" s="15"/>
      <c r="E38" s="15"/>
      <c r="F38" s="16"/>
      <c r="G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">
    <mergeCell ref="A2:A3"/>
    <mergeCell ref="B2:C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18.29"/>
    <col customWidth="1" min="3" max="3" width="29.57"/>
    <col customWidth="1" min="4" max="4" width="33.29"/>
    <col customWidth="1" min="5" max="5" width="28.29"/>
    <col customWidth="1" min="6" max="6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1.5" customHeight="1">
      <c r="A2" s="2" t="s">
        <v>0</v>
      </c>
      <c r="B2" s="3" t="s">
        <v>8</v>
      </c>
      <c r="C2" s="4"/>
      <c r="D2" s="5">
        <v>44.0</v>
      </c>
      <c r="E2" s="3" t="s">
        <v>2</v>
      </c>
      <c r="F2" s="6">
        <v>14.0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5.5" customHeight="1">
      <c r="A3" s="7"/>
      <c r="B3" s="8" t="s">
        <v>3</v>
      </c>
      <c r="C3" s="9" t="s">
        <v>4</v>
      </c>
      <c r="D3" s="10" t="s">
        <v>5</v>
      </c>
      <c r="E3" s="10" t="s">
        <v>6</v>
      </c>
      <c r="F3" s="11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3">
        <f t="shared" ref="A4:A18" si="1">ROW()-3</f>
        <v>1</v>
      </c>
      <c r="B4" s="14">
        <v>44417.0</v>
      </c>
      <c r="C4" s="15">
        <f>(F2-ROW()+4)*D2/F2</f>
        <v>44</v>
      </c>
      <c r="D4" s="13"/>
      <c r="E4" s="15">
        <f>D2-D4</f>
        <v>44</v>
      </c>
      <c r="F4" s="16"/>
      <c r="G4" s="1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3">
        <f t="shared" si="1"/>
        <v>2</v>
      </c>
      <c r="B5" s="14">
        <v>44418.0</v>
      </c>
      <c r="C5" s="17">
        <f>(F2-ROW()+4)*D2/F2</f>
        <v>40.85714286</v>
      </c>
      <c r="D5" s="13"/>
      <c r="E5" s="15">
        <f t="shared" ref="E5:E18" si="2">E4-D5</f>
        <v>44</v>
      </c>
      <c r="F5" s="16"/>
      <c r="G5" s="1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3">
        <f t="shared" si="1"/>
        <v>3</v>
      </c>
      <c r="B6" s="14">
        <v>44419.0</v>
      </c>
      <c r="C6" s="15">
        <f>(F2-ROW()+4)*D2/F2</f>
        <v>37.71428571</v>
      </c>
      <c r="D6" s="13">
        <v>36.0</v>
      </c>
      <c r="E6" s="15">
        <f t="shared" si="2"/>
        <v>8</v>
      </c>
      <c r="F6" s="16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>
        <f t="shared" si="1"/>
        <v>4</v>
      </c>
      <c r="B7" s="14">
        <v>44420.0</v>
      </c>
      <c r="C7" s="15">
        <f>(F2-ROW()+4)*D2/F2</f>
        <v>34.57142857</v>
      </c>
      <c r="D7" s="17"/>
      <c r="E7" s="15">
        <f t="shared" si="2"/>
        <v>8</v>
      </c>
      <c r="F7" s="16"/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>
        <f t="shared" si="1"/>
        <v>5</v>
      </c>
      <c r="B8" s="14">
        <v>44421.0</v>
      </c>
      <c r="C8" s="15">
        <f>(F2-ROW()+4)*D2/F2</f>
        <v>31.42857143</v>
      </c>
      <c r="D8" s="13"/>
      <c r="E8" s="15">
        <f t="shared" si="2"/>
        <v>8</v>
      </c>
      <c r="F8" s="16"/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>
        <f t="shared" si="1"/>
        <v>6</v>
      </c>
      <c r="B9" s="14">
        <v>44422.0</v>
      </c>
      <c r="C9" s="15">
        <f>(F2-ROW()+4)*D2/F2</f>
        <v>28.28571429</v>
      </c>
      <c r="D9" s="13"/>
      <c r="E9" s="15">
        <f t="shared" si="2"/>
        <v>8</v>
      </c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>
        <f t="shared" si="1"/>
        <v>7</v>
      </c>
      <c r="B10" s="14">
        <v>44423.0</v>
      </c>
      <c r="C10" s="15">
        <f>(F2-ROW()+4)*D2/F2</f>
        <v>25.14285714</v>
      </c>
      <c r="D10" s="13"/>
      <c r="E10" s="15">
        <f t="shared" si="2"/>
        <v>8</v>
      </c>
      <c r="F10" s="16"/>
      <c r="G10" s="1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>
        <f t="shared" si="1"/>
        <v>8</v>
      </c>
      <c r="B11" s="14">
        <v>44424.0</v>
      </c>
      <c r="C11" s="15">
        <f>(F2-ROW()+4)*D2/F2</f>
        <v>22</v>
      </c>
      <c r="D11" s="13"/>
      <c r="E11" s="15">
        <f t="shared" si="2"/>
        <v>8</v>
      </c>
      <c r="F11" s="16"/>
      <c r="G11" s="1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3">
        <f t="shared" si="1"/>
        <v>9</v>
      </c>
      <c r="B12" s="14">
        <v>44425.0</v>
      </c>
      <c r="C12" s="15">
        <f>(F2-ROW()+4)*D2/F2</f>
        <v>18.85714286</v>
      </c>
      <c r="D12" s="13"/>
      <c r="E12" s="15">
        <f t="shared" si="2"/>
        <v>8</v>
      </c>
      <c r="F12" s="16"/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3">
        <f t="shared" si="1"/>
        <v>10</v>
      </c>
      <c r="B13" s="14">
        <v>44426.0</v>
      </c>
      <c r="C13" s="15">
        <f>(F2-ROW()+4)*D2/F2</f>
        <v>15.71428571</v>
      </c>
      <c r="D13" s="13"/>
      <c r="E13" s="15">
        <f t="shared" si="2"/>
        <v>8</v>
      </c>
      <c r="F13" s="16"/>
      <c r="G13" s="1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3">
        <f t="shared" si="1"/>
        <v>11</v>
      </c>
      <c r="B14" s="14">
        <v>44427.0</v>
      </c>
      <c r="C14" s="15">
        <f>(F2-ROW()+4)*D2/F2</f>
        <v>12.57142857</v>
      </c>
      <c r="D14" s="13"/>
      <c r="E14" s="15">
        <f t="shared" si="2"/>
        <v>8</v>
      </c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3">
        <f t="shared" si="1"/>
        <v>12</v>
      </c>
      <c r="B15" s="14">
        <v>44428.0</v>
      </c>
      <c r="C15" s="15">
        <f>(F2-ROW()+4)*D2/F2</f>
        <v>9.428571429</v>
      </c>
      <c r="D15" s="13"/>
      <c r="E15" s="15">
        <f t="shared" si="2"/>
        <v>8</v>
      </c>
      <c r="F15" s="16"/>
      <c r="G15" s="1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3">
        <f t="shared" si="1"/>
        <v>13</v>
      </c>
      <c r="B16" s="14">
        <v>44429.0</v>
      </c>
      <c r="C16" s="15">
        <f>(F2-ROW()+4)*D2/F2</f>
        <v>6.285714286</v>
      </c>
      <c r="D16" s="13"/>
      <c r="E16" s="15">
        <f t="shared" si="2"/>
        <v>8</v>
      </c>
      <c r="F16" s="16"/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3">
        <f t="shared" si="1"/>
        <v>14</v>
      </c>
      <c r="B17" s="14">
        <v>44430.0</v>
      </c>
      <c r="C17" s="15">
        <f>(F2-ROW()+4)*D2/F2</f>
        <v>3.142857143</v>
      </c>
      <c r="D17" s="13"/>
      <c r="E17" s="15">
        <f t="shared" si="2"/>
        <v>8</v>
      </c>
      <c r="F17" s="16"/>
      <c r="G17" s="1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3">
        <f t="shared" si="1"/>
        <v>15</v>
      </c>
      <c r="B18" s="14">
        <v>44431.0</v>
      </c>
      <c r="C18" s="15">
        <f>(F2-ROW()+4)*D2/F2</f>
        <v>0</v>
      </c>
      <c r="D18" s="13"/>
      <c r="E18" s="15">
        <f t="shared" si="2"/>
        <v>8</v>
      </c>
      <c r="F18" s="16"/>
      <c r="G18" s="1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/>
      <c r="B19" s="14"/>
      <c r="C19" s="17"/>
      <c r="D19" s="13"/>
      <c r="E19" s="15"/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3"/>
      <c r="B20" s="14"/>
      <c r="C20" s="17"/>
      <c r="D20" s="13"/>
      <c r="E20" s="15"/>
      <c r="F20" s="16"/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3"/>
      <c r="B21" s="14"/>
      <c r="C21" s="17"/>
      <c r="D21" s="13"/>
      <c r="E21" s="15"/>
      <c r="F21" s="16"/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3"/>
      <c r="B22" s="14"/>
      <c r="C22" s="17"/>
      <c r="D22" s="13"/>
      <c r="E22" s="15"/>
      <c r="F22" s="16"/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3"/>
      <c r="B23" s="14"/>
      <c r="C23" s="17"/>
      <c r="D23" s="15"/>
      <c r="E23" s="15"/>
      <c r="F23" s="16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3"/>
      <c r="B24" s="14"/>
      <c r="C24" s="17"/>
      <c r="D24" s="15"/>
      <c r="E24" s="15"/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3"/>
      <c r="B25" s="14"/>
      <c r="C25" s="17"/>
      <c r="D25" s="15"/>
      <c r="E25" s="15"/>
      <c r="F25" s="16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"/>
      <c r="B26" s="14"/>
      <c r="C26" s="17"/>
      <c r="D26" s="15"/>
      <c r="E26" s="15"/>
      <c r="F26" s="16"/>
      <c r="G26" s="1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3"/>
      <c r="B27" s="14"/>
      <c r="C27" s="17"/>
      <c r="D27" s="15"/>
      <c r="E27" s="15"/>
      <c r="F27" s="16"/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3"/>
      <c r="B28" s="14"/>
      <c r="C28" s="17"/>
      <c r="D28" s="13"/>
      <c r="E28" s="15"/>
      <c r="F28" s="16"/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3"/>
      <c r="B29" s="14"/>
      <c r="C29" s="17"/>
      <c r="D29" s="15"/>
      <c r="E29" s="15"/>
      <c r="F29" s="16"/>
      <c r="G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3"/>
      <c r="B30" s="14"/>
      <c r="C30" s="17"/>
      <c r="D30" s="15"/>
      <c r="E30" s="15"/>
      <c r="F30" s="16"/>
      <c r="G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3"/>
      <c r="B31" s="14"/>
      <c r="C31" s="17"/>
      <c r="D31" s="15"/>
      <c r="E31" s="15"/>
      <c r="F31" s="16"/>
      <c r="G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3"/>
      <c r="B32" s="14"/>
      <c r="C32" s="17"/>
      <c r="D32" s="15"/>
      <c r="E32" s="15"/>
      <c r="F32" s="16"/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3"/>
      <c r="B33" s="14"/>
      <c r="C33" s="17"/>
      <c r="D33" s="15"/>
      <c r="E33" s="15"/>
      <c r="F33" s="16"/>
      <c r="G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3"/>
      <c r="B34" s="14"/>
      <c r="C34" s="17"/>
      <c r="D34" s="15"/>
      <c r="E34" s="15"/>
      <c r="F34" s="16"/>
      <c r="G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3"/>
      <c r="B35" s="14"/>
      <c r="C35" s="17"/>
      <c r="D35" s="15"/>
      <c r="E35" s="15"/>
      <c r="F35" s="16"/>
      <c r="G35" s="1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3"/>
      <c r="B36" s="14"/>
      <c r="C36" s="17"/>
      <c r="D36" s="15"/>
      <c r="E36" s="15"/>
      <c r="F36" s="16"/>
      <c r="G36" s="1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3"/>
      <c r="B37" s="14"/>
      <c r="C37" s="17"/>
      <c r="D37" s="15"/>
      <c r="E37" s="15"/>
      <c r="F37" s="16"/>
      <c r="G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3"/>
      <c r="B38" s="14"/>
      <c r="C38" s="17"/>
      <c r="D38" s="15"/>
      <c r="E38" s="15"/>
      <c r="F38" s="16"/>
      <c r="G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">
    <mergeCell ref="A2:A3"/>
    <mergeCell ref="B2:C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8.29"/>
    <col customWidth="1" min="3" max="3" width="29.57"/>
    <col customWidth="1" min="4" max="4" width="33.29"/>
    <col customWidth="1" min="5" max="5" width="28.29"/>
    <col customWidth="1" min="6" max="6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1.5" customHeight="1">
      <c r="A2" s="2" t="s">
        <v>0</v>
      </c>
      <c r="B2" s="3" t="s">
        <v>1</v>
      </c>
      <c r="C2" s="4"/>
      <c r="D2" s="5">
        <v>99.0</v>
      </c>
      <c r="E2" s="3" t="s">
        <v>2</v>
      </c>
      <c r="F2" s="6">
        <v>14.0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5.5" customHeight="1">
      <c r="A3" s="7"/>
      <c r="B3" s="8" t="s">
        <v>3</v>
      </c>
      <c r="C3" s="9" t="s">
        <v>4</v>
      </c>
      <c r="D3" s="10" t="s">
        <v>5</v>
      </c>
      <c r="E3" s="10" t="s">
        <v>6</v>
      </c>
      <c r="F3" s="11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3">
        <f t="shared" ref="A4:A17" si="1">ROW()-3</f>
        <v>1</v>
      </c>
      <c r="B4" s="14">
        <v>44442.0</v>
      </c>
      <c r="C4" s="15">
        <f>(F2-ROW()+3)*D2/F2</f>
        <v>91.92857143</v>
      </c>
      <c r="D4" s="13"/>
      <c r="E4" s="15">
        <f>D2-D4</f>
        <v>99</v>
      </c>
      <c r="F4" s="16"/>
      <c r="G4" s="1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3">
        <f t="shared" si="1"/>
        <v>2</v>
      </c>
      <c r="B5" s="14">
        <v>44443.0</v>
      </c>
      <c r="C5" s="17">
        <f>(F2-ROW()+3)*D2/F2</f>
        <v>84.85714286</v>
      </c>
      <c r="D5" s="13"/>
      <c r="E5" s="15">
        <f t="shared" ref="E5:E17" si="2">E4-D5</f>
        <v>99</v>
      </c>
      <c r="F5" s="16"/>
      <c r="G5" s="1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3">
        <f t="shared" si="1"/>
        <v>3</v>
      </c>
      <c r="B6" s="14">
        <v>44444.0</v>
      </c>
      <c r="C6" s="17">
        <f>(F2-ROW()+3)*D2/F2</f>
        <v>77.78571429</v>
      </c>
      <c r="D6" s="13"/>
      <c r="E6" s="15">
        <f t="shared" si="2"/>
        <v>99</v>
      </c>
      <c r="F6" s="16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>
        <f t="shared" si="1"/>
        <v>4</v>
      </c>
      <c r="B7" s="14">
        <v>44445.0</v>
      </c>
      <c r="C7" s="17">
        <f>(F2-ROW()+3)*D2/F2</f>
        <v>70.71428571</v>
      </c>
      <c r="D7" s="13"/>
      <c r="E7" s="15">
        <f t="shared" si="2"/>
        <v>99</v>
      </c>
      <c r="F7" s="16"/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>
        <f t="shared" si="1"/>
        <v>5</v>
      </c>
      <c r="B8" s="14">
        <v>44446.0</v>
      </c>
      <c r="C8" s="17">
        <f>(F2-ROW()+3)*D2/F2</f>
        <v>63.64285714</v>
      </c>
      <c r="D8" s="13"/>
      <c r="E8" s="15">
        <f t="shared" si="2"/>
        <v>99</v>
      </c>
      <c r="F8" s="16"/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>
        <f t="shared" si="1"/>
        <v>6</v>
      </c>
      <c r="B9" s="14">
        <v>44447.0</v>
      </c>
      <c r="C9" s="17">
        <f>(F2-ROW()+3)*D2/F2</f>
        <v>56.57142857</v>
      </c>
      <c r="D9" s="13"/>
      <c r="E9" s="15">
        <f t="shared" si="2"/>
        <v>99</v>
      </c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>
        <f t="shared" si="1"/>
        <v>7</v>
      </c>
      <c r="B10" s="14">
        <v>44448.0</v>
      </c>
      <c r="C10" s="17">
        <f>(F2-ROW()+3)*D2/F2</f>
        <v>49.5</v>
      </c>
      <c r="D10" s="13"/>
      <c r="E10" s="15">
        <f t="shared" si="2"/>
        <v>99</v>
      </c>
      <c r="F10" s="16"/>
      <c r="G10" s="1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>
        <f t="shared" si="1"/>
        <v>8</v>
      </c>
      <c r="B11" s="14">
        <v>44449.0</v>
      </c>
      <c r="C11" s="17">
        <f>(F2-ROW()+3)*D2/F2</f>
        <v>42.42857143</v>
      </c>
      <c r="D11" s="13"/>
      <c r="E11" s="15">
        <f t="shared" si="2"/>
        <v>99</v>
      </c>
      <c r="F11" s="16"/>
      <c r="G11" s="1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3">
        <f t="shared" si="1"/>
        <v>9</v>
      </c>
      <c r="B12" s="14">
        <v>44450.0</v>
      </c>
      <c r="C12" s="17">
        <f>(F2-ROW()+3)*D2/F2</f>
        <v>35.35714286</v>
      </c>
      <c r="D12" s="13"/>
      <c r="E12" s="15">
        <f t="shared" si="2"/>
        <v>99</v>
      </c>
      <c r="F12" s="16"/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3">
        <f t="shared" si="1"/>
        <v>10</v>
      </c>
      <c r="B13" s="14">
        <v>44451.0</v>
      </c>
      <c r="C13" s="17">
        <f>(F2-ROW()+3)*D2/F2</f>
        <v>28.28571429</v>
      </c>
      <c r="D13" s="13">
        <v>68.0</v>
      </c>
      <c r="E13" s="15">
        <f t="shared" si="2"/>
        <v>31</v>
      </c>
      <c r="F13" s="16"/>
      <c r="G13" s="1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3">
        <f t="shared" si="1"/>
        <v>11</v>
      </c>
      <c r="B14" s="14">
        <v>44452.0</v>
      </c>
      <c r="C14" s="17">
        <f>(F2-ROW()+3)*D2/F2</f>
        <v>21.21428571</v>
      </c>
      <c r="D14" s="13">
        <v>6.0</v>
      </c>
      <c r="E14" s="15">
        <f t="shared" si="2"/>
        <v>25</v>
      </c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3">
        <f t="shared" si="1"/>
        <v>12</v>
      </c>
      <c r="B15" s="14">
        <v>44453.0</v>
      </c>
      <c r="C15" s="17">
        <f>(F2-ROW()+3)*D2/F2</f>
        <v>14.14285714</v>
      </c>
      <c r="D15" s="13">
        <v>14.0</v>
      </c>
      <c r="E15" s="15">
        <f t="shared" si="2"/>
        <v>11</v>
      </c>
      <c r="F15" s="16"/>
      <c r="G15" s="1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3">
        <f t="shared" si="1"/>
        <v>13</v>
      </c>
      <c r="B16" s="14">
        <v>44454.0</v>
      </c>
      <c r="C16" s="17">
        <f>(F2-ROW()+3)*D2/F2</f>
        <v>7.071428571</v>
      </c>
      <c r="D16" s="13">
        <v>4.0</v>
      </c>
      <c r="E16" s="15">
        <f t="shared" si="2"/>
        <v>7</v>
      </c>
      <c r="F16" s="16"/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3">
        <f t="shared" si="1"/>
        <v>14</v>
      </c>
      <c r="B17" s="14">
        <v>44455.0</v>
      </c>
      <c r="C17" s="17">
        <f>(F2-ROW()+3)*D2/F2</f>
        <v>0</v>
      </c>
      <c r="D17" s="13"/>
      <c r="E17" s="15">
        <f t="shared" si="2"/>
        <v>7</v>
      </c>
      <c r="F17" s="16"/>
      <c r="G17" s="1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3"/>
      <c r="B18" s="14"/>
      <c r="C18" s="17"/>
      <c r="D18" s="13"/>
      <c r="E18" s="15"/>
      <c r="F18" s="16"/>
      <c r="G18" s="1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/>
      <c r="B19" s="14"/>
      <c r="C19" s="17"/>
      <c r="D19" s="13"/>
      <c r="E19" s="15"/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3"/>
      <c r="B20" s="14"/>
      <c r="C20" s="17"/>
      <c r="D20" s="13"/>
      <c r="E20" s="15"/>
      <c r="F20" s="16"/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3"/>
      <c r="B21" s="14"/>
      <c r="C21" s="17"/>
      <c r="D21" s="13"/>
      <c r="E21" s="15"/>
      <c r="F21" s="16"/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3"/>
      <c r="B22" s="14"/>
      <c r="C22" s="17"/>
      <c r="D22" s="13"/>
      <c r="E22" s="15"/>
      <c r="F22" s="16"/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3"/>
      <c r="B23" s="14"/>
      <c r="C23" s="17"/>
      <c r="D23" s="15"/>
      <c r="E23" s="15"/>
      <c r="F23" s="16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3"/>
      <c r="B24" s="14"/>
      <c r="C24" s="17"/>
      <c r="D24" s="15"/>
      <c r="E24" s="15"/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3"/>
      <c r="B25" s="14"/>
      <c r="C25" s="17"/>
      <c r="D25" s="15"/>
      <c r="E25" s="15"/>
      <c r="F25" s="16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"/>
      <c r="B26" s="14"/>
      <c r="C26" s="17"/>
      <c r="D26" s="15"/>
      <c r="E26" s="15"/>
      <c r="F26" s="16"/>
      <c r="G26" s="1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3"/>
      <c r="B27" s="14"/>
      <c r="C27" s="17"/>
      <c r="D27" s="15"/>
      <c r="E27" s="15"/>
      <c r="F27" s="16"/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3"/>
      <c r="B28" s="14"/>
      <c r="C28" s="17"/>
      <c r="D28" s="13"/>
      <c r="E28" s="15"/>
      <c r="F28" s="16"/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3"/>
      <c r="B29" s="14"/>
      <c r="C29" s="17"/>
      <c r="D29" s="15"/>
      <c r="E29" s="15"/>
      <c r="F29" s="16"/>
      <c r="G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3"/>
      <c r="B30" s="14"/>
      <c r="C30" s="17"/>
      <c r="D30" s="15"/>
      <c r="E30" s="15"/>
      <c r="F30" s="16"/>
      <c r="G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3"/>
      <c r="B31" s="14"/>
      <c r="C31" s="17"/>
      <c r="D31" s="15"/>
      <c r="E31" s="15"/>
      <c r="F31" s="16"/>
      <c r="G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3"/>
      <c r="B32" s="14"/>
      <c r="C32" s="17"/>
      <c r="D32" s="15"/>
      <c r="E32" s="15"/>
      <c r="F32" s="16"/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3"/>
      <c r="B33" s="14"/>
      <c r="C33" s="17"/>
      <c r="D33" s="15"/>
      <c r="E33" s="15"/>
      <c r="F33" s="16"/>
      <c r="G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3"/>
      <c r="B34" s="14"/>
      <c r="C34" s="17"/>
      <c r="D34" s="15"/>
      <c r="E34" s="15"/>
      <c r="F34" s="16"/>
      <c r="G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3"/>
      <c r="B35" s="14"/>
      <c r="C35" s="17"/>
      <c r="D35" s="15"/>
      <c r="E35" s="15"/>
      <c r="F35" s="16"/>
      <c r="G35" s="1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3"/>
      <c r="B36" s="14"/>
      <c r="C36" s="17"/>
      <c r="D36" s="15"/>
      <c r="E36" s="15"/>
      <c r="F36" s="16"/>
      <c r="G36" s="1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3"/>
      <c r="B37" s="14"/>
      <c r="C37" s="17"/>
      <c r="D37" s="15"/>
      <c r="E37" s="15"/>
      <c r="F37" s="16"/>
      <c r="G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3"/>
      <c r="B38" s="14"/>
      <c r="C38" s="17"/>
      <c r="D38" s="15"/>
      <c r="E38" s="15"/>
      <c r="F38" s="16"/>
      <c r="G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">
    <mergeCell ref="A2:A3"/>
    <mergeCell ref="B2:C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8.29"/>
    <col customWidth="1" min="3" max="3" width="29.57"/>
    <col customWidth="1" min="4" max="4" width="33.29"/>
    <col customWidth="1" min="5" max="5" width="28.29"/>
    <col customWidth="1" min="6" max="6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1.5" customHeight="1">
      <c r="A2" s="2" t="s">
        <v>0</v>
      </c>
      <c r="B2" s="3" t="s">
        <v>1</v>
      </c>
      <c r="C2" s="4"/>
      <c r="D2" s="5">
        <v>50.0</v>
      </c>
      <c r="E2" s="3" t="s">
        <v>2</v>
      </c>
      <c r="F2" s="6">
        <v>35.0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5.5" customHeight="1">
      <c r="A3" s="7"/>
      <c r="B3" s="8" t="s">
        <v>3</v>
      </c>
      <c r="C3" s="9" t="s">
        <v>4</v>
      </c>
      <c r="D3" s="10" t="s">
        <v>5</v>
      </c>
      <c r="E3" s="10" t="s">
        <v>6</v>
      </c>
      <c r="F3" s="11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3">
        <f t="shared" ref="A4:A38" si="1">ROW()-3</f>
        <v>1</v>
      </c>
      <c r="B4" s="14">
        <v>44197.0</v>
      </c>
      <c r="C4" s="15">
        <f>(F2-ROW()+3)*D2/F2</f>
        <v>48.57142857</v>
      </c>
      <c r="D4" s="13">
        <v>5.0</v>
      </c>
      <c r="E4" s="15">
        <f>D2-D4</f>
        <v>45</v>
      </c>
      <c r="F4" s="16"/>
      <c r="G4" s="1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3">
        <f t="shared" si="1"/>
        <v>2</v>
      </c>
      <c r="B5" s="14">
        <v>44198.0</v>
      </c>
      <c r="C5" s="17">
        <f>(F2-ROW()+3)*D2/F2</f>
        <v>47.14285714</v>
      </c>
      <c r="D5" s="13"/>
      <c r="E5" s="15">
        <f t="shared" ref="E5:E38" si="2">E4-D5</f>
        <v>45</v>
      </c>
      <c r="F5" s="16"/>
      <c r="G5" s="1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3">
        <f t="shared" si="1"/>
        <v>3</v>
      </c>
      <c r="B6" s="14">
        <v>44199.0</v>
      </c>
      <c r="C6" s="17">
        <f>(F2-ROW()+3)*D2/F2</f>
        <v>45.71428571</v>
      </c>
      <c r="D6" s="13">
        <v>3.0</v>
      </c>
      <c r="E6" s="15">
        <f t="shared" si="2"/>
        <v>42</v>
      </c>
      <c r="F6" s="16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>
        <f t="shared" si="1"/>
        <v>4</v>
      </c>
      <c r="B7" s="14">
        <v>44200.0</v>
      </c>
      <c r="C7" s="17">
        <f>(F2-ROW()+3)*D2/F2</f>
        <v>44.28571429</v>
      </c>
      <c r="D7" s="13"/>
      <c r="E7" s="15">
        <f t="shared" si="2"/>
        <v>42</v>
      </c>
      <c r="F7" s="16"/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>
        <f t="shared" si="1"/>
        <v>5</v>
      </c>
      <c r="B8" s="14">
        <v>44201.0</v>
      </c>
      <c r="C8" s="17">
        <f>(F2-ROW()+3)*D2/F2</f>
        <v>42.85714286</v>
      </c>
      <c r="D8" s="13"/>
      <c r="E8" s="15">
        <f t="shared" si="2"/>
        <v>42</v>
      </c>
      <c r="F8" s="16"/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>
        <f t="shared" si="1"/>
        <v>6</v>
      </c>
      <c r="B9" s="14">
        <v>44202.0</v>
      </c>
      <c r="C9" s="17">
        <f>(F2-ROW()+3)*D2/F2</f>
        <v>41.42857143</v>
      </c>
      <c r="D9" s="13">
        <v>4.0</v>
      </c>
      <c r="E9" s="15">
        <f t="shared" si="2"/>
        <v>38</v>
      </c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>
        <f t="shared" si="1"/>
        <v>7</v>
      </c>
      <c r="B10" s="14">
        <v>44203.0</v>
      </c>
      <c r="C10" s="17">
        <f>(F2-ROW()+3)*D2/F2</f>
        <v>40</v>
      </c>
      <c r="D10" s="13"/>
      <c r="E10" s="15">
        <f t="shared" si="2"/>
        <v>38</v>
      </c>
      <c r="F10" s="16"/>
      <c r="G10" s="1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>
        <f t="shared" si="1"/>
        <v>8</v>
      </c>
      <c r="B11" s="14">
        <v>44204.0</v>
      </c>
      <c r="C11" s="17">
        <f>(F2-ROW()+3)*D2/F2</f>
        <v>38.57142857</v>
      </c>
      <c r="D11" s="13"/>
      <c r="E11" s="15">
        <f t="shared" si="2"/>
        <v>38</v>
      </c>
      <c r="F11" s="16"/>
      <c r="G11" s="1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3">
        <f t="shared" si="1"/>
        <v>9</v>
      </c>
      <c r="B12" s="14">
        <v>44205.0</v>
      </c>
      <c r="C12" s="17">
        <f>(F2-ROW()+3)*D2/F2</f>
        <v>37.14285714</v>
      </c>
      <c r="D12" s="13"/>
      <c r="E12" s="15">
        <f t="shared" si="2"/>
        <v>38</v>
      </c>
      <c r="F12" s="16"/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3">
        <f t="shared" si="1"/>
        <v>10</v>
      </c>
      <c r="B13" s="14">
        <v>44206.0</v>
      </c>
      <c r="C13" s="17">
        <f>(F2-ROW()+3)*D2/F2</f>
        <v>35.71428571</v>
      </c>
      <c r="D13" s="13"/>
      <c r="E13" s="15">
        <f t="shared" si="2"/>
        <v>38</v>
      </c>
      <c r="F13" s="16"/>
      <c r="G13" s="1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3">
        <f t="shared" si="1"/>
        <v>11</v>
      </c>
      <c r="B14" s="14">
        <v>44207.0</v>
      </c>
      <c r="C14" s="17">
        <f>(F2-ROW()+3)*D2/F2</f>
        <v>34.28571429</v>
      </c>
      <c r="D14" s="13"/>
      <c r="E14" s="15">
        <f t="shared" si="2"/>
        <v>38</v>
      </c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3">
        <f t="shared" si="1"/>
        <v>12</v>
      </c>
      <c r="B15" s="14">
        <v>44208.0</v>
      </c>
      <c r="C15" s="17">
        <f>(F2-ROW()+3)*D2/F2</f>
        <v>32.85714286</v>
      </c>
      <c r="D15" s="13"/>
      <c r="E15" s="15">
        <f t="shared" si="2"/>
        <v>38</v>
      </c>
      <c r="F15" s="16"/>
      <c r="G15" s="1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3">
        <f t="shared" si="1"/>
        <v>13</v>
      </c>
      <c r="B16" s="14">
        <v>44209.0</v>
      </c>
      <c r="C16" s="17">
        <f>(F2-ROW()+3)*D2/F2</f>
        <v>31.42857143</v>
      </c>
      <c r="D16" s="13"/>
      <c r="E16" s="15">
        <f t="shared" si="2"/>
        <v>38</v>
      </c>
      <c r="F16" s="16"/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3">
        <f t="shared" si="1"/>
        <v>14</v>
      </c>
      <c r="B17" s="14">
        <v>44210.0</v>
      </c>
      <c r="C17" s="17">
        <f>(F2-ROW()+3)*D2/F2</f>
        <v>30</v>
      </c>
      <c r="D17" s="13"/>
      <c r="E17" s="15">
        <f t="shared" si="2"/>
        <v>38</v>
      </c>
      <c r="F17" s="16"/>
      <c r="G17" s="1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3">
        <f t="shared" si="1"/>
        <v>15</v>
      </c>
      <c r="B18" s="14">
        <v>44211.0</v>
      </c>
      <c r="C18" s="17">
        <f>(F2-ROW()+3)*D2/F2</f>
        <v>28.57142857</v>
      </c>
      <c r="D18" s="13"/>
      <c r="E18" s="15">
        <f t="shared" si="2"/>
        <v>38</v>
      </c>
      <c r="F18" s="16"/>
      <c r="G18" s="1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>
        <f t="shared" si="1"/>
        <v>16</v>
      </c>
      <c r="B19" s="14">
        <v>44212.0</v>
      </c>
      <c r="C19" s="17">
        <f>(F2-ROW()+3)*D2/F2</f>
        <v>27.14285714</v>
      </c>
      <c r="D19" s="13"/>
      <c r="E19" s="15">
        <f t="shared" si="2"/>
        <v>38</v>
      </c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3">
        <f t="shared" si="1"/>
        <v>17</v>
      </c>
      <c r="B20" s="14">
        <v>44213.0</v>
      </c>
      <c r="C20" s="17">
        <f>(F2-ROW()+3)*D2/F2</f>
        <v>25.71428571</v>
      </c>
      <c r="D20" s="13"/>
      <c r="E20" s="15">
        <f t="shared" si="2"/>
        <v>38</v>
      </c>
      <c r="F20" s="16"/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3">
        <f t="shared" si="1"/>
        <v>18</v>
      </c>
      <c r="B21" s="14">
        <v>44214.0</v>
      </c>
      <c r="C21" s="17">
        <f>(F2-ROW()+3)*D2/F2</f>
        <v>24.28571429</v>
      </c>
      <c r="D21" s="13"/>
      <c r="E21" s="15">
        <f t="shared" si="2"/>
        <v>38</v>
      </c>
      <c r="F21" s="16"/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3">
        <f t="shared" si="1"/>
        <v>19</v>
      </c>
      <c r="B22" s="14">
        <v>44215.0</v>
      </c>
      <c r="C22" s="17">
        <f>(F2-ROW()+3)*D2/F2</f>
        <v>22.85714286</v>
      </c>
      <c r="D22" s="13"/>
      <c r="E22" s="15">
        <f t="shared" si="2"/>
        <v>38</v>
      </c>
      <c r="F22" s="16"/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3">
        <f t="shared" si="1"/>
        <v>20</v>
      </c>
      <c r="B23" s="14">
        <v>44216.0</v>
      </c>
      <c r="C23" s="17">
        <f>(F2-ROW()+3)*D2/F2</f>
        <v>21.42857143</v>
      </c>
      <c r="D23" s="15"/>
      <c r="E23" s="15">
        <f t="shared" si="2"/>
        <v>38</v>
      </c>
      <c r="F23" s="16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3">
        <f t="shared" si="1"/>
        <v>21</v>
      </c>
      <c r="B24" s="14">
        <v>44217.0</v>
      </c>
      <c r="C24" s="17">
        <f>(F2-ROW()+3)*D2/F2</f>
        <v>20</v>
      </c>
      <c r="D24" s="15"/>
      <c r="E24" s="15">
        <f t="shared" si="2"/>
        <v>38</v>
      </c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3">
        <f t="shared" si="1"/>
        <v>22</v>
      </c>
      <c r="B25" s="14">
        <v>44218.0</v>
      </c>
      <c r="C25" s="17">
        <f>(F2-ROW()+3)*D2/F2</f>
        <v>18.57142857</v>
      </c>
      <c r="D25" s="15"/>
      <c r="E25" s="15">
        <f t="shared" si="2"/>
        <v>38</v>
      </c>
      <c r="F25" s="16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">
        <f t="shared" si="1"/>
        <v>23</v>
      </c>
      <c r="B26" s="14">
        <v>44219.0</v>
      </c>
      <c r="C26" s="17">
        <f>(F2-ROW()+3)*D2/F2</f>
        <v>17.14285714</v>
      </c>
      <c r="D26" s="15"/>
      <c r="E26" s="15">
        <f t="shared" si="2"/>
        <v>38</v>
      </c>
      <c r="F26" s="16"/>
      <c r="G26" s="1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3">
        <f t="shared" si="1"/>
        <v>24</v>
      </c>
      <c r="B27" s="14">
        <v>44220.0</v>
      </c>
      <c r="C27" s="17">
        <f>(F2-ROW()+3)*D2/F2</f>
        <v>15.71428571</v>
      </c>
      <c r="D27" s="15"/>
      <c r="E27" s="15">
        <f t="shared" si="2"/>
        <v>38</v>
      </c>
      <c r="F27" s="16"/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3">
        <f t="shared" si="1"/>
        <v>25</v>
      </c>
      <c r="B28" s="14">
        <v>44221.0</v>
      </c>
      <c r="C28" s="17">
        <f>(F2-ROW()+3)*D2/F2</f>
        <v>14.28571429</v>
      </c>
      <c r="D28" s="13"/>
      <c r="E28" s="15">
        <f t="shared" si="2"/>
        <v>38</v>
      </c>
      <c r="F28" s="16"/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3">
        <f t="shared" si="1"/>
        <v>26</v>
      </c>
      <c r="B29" s="14">
        <v>44222.0</v>
      </c>
      <c r="C29" s="17">
        <f>(F2-ROW()+3)*D2/F2</f>
        <v>12.85714286</v>
      </c>
      <c r="D29" s="15"/>
      <c r="E29" s="15">
        <f t="shared" si="2"/>
        <v>38</v>
      </c>
      <c r="F29" s="16"/>
      <c r="G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3">
        <f t="shared" si="1"/>
        <v>27</v>
      </c>
      <c r="B30" s="14">
        <v>44223.0</v>
      </c>
      <c r="C30" s="17">
        <f>(F2-ROW()+3)*D2/F2</f>
        <v>11.42857143</v>
      </c>
      <c r="D30" s="15"/>
      <c r="E30" s="15">
        <f t="shared" si="2"/>
        <v>38</v>
      </c>
      <c r="F30" s="16"/>
      <c r="G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3">
        <f t="shared" si="1"/>
        <v>28</v>
      </c>
      <c r="B31" s="14">
        <v>44224.0</v>
      </c>
      <c r="C31" s="17">
        <f>(F2-ROW()+3)*D2/F2</f>
        <v>10</v>
      </c>
      <c r="D31" s="15"/>
      <c r="E31" s="15">
        <f t="shared" si="2"/>
        <v>38</v>
      </c>
      <c r="F31" s="16"/>
      <c r="G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3">
        <f t="shared" si="1"/>
        <v>29</v>
      </c>
      <c r="B32" s="14">
        <v>44225.0</v>
      </c>
      <c r="C32" s="17">
        <f>(F2-ROW()+3)*D2/F2</f>
        <v>8.571428571</v>
      </c>
      <c r="D32" s="15"/>
      <c r="E32" s="15">
        <f t="shared" si="2"/>
        <v>38</v>
      </c>
      <c r="F32" s="16"/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3">
        <f t="shared" si="1"/>
        <v>30</v>
      </c>
      <c r="B33" s="14">
        <v>44226.0</v>
      </c>
      <c r="C33" s="17">
        <f>(F2-ROW()+3)*D2/F2</f>
        <v>7.142857143</v>
      </c>
      <c r="D33" s="15"/>
      <c r="E33" s="15">
        <f t="shared" si="2"/>
        <v>38</v>
      </c>
      <c r="F33" s="16"/>
      <c r="G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3">
        <f t="shared" si="1"/>
        <v>31</v>
      </c>
      <c r="B34" s="14">
        <v>44227.0</v>
      </c>
      <c r="C34" s="17">
        <f>(F2-ROW()+3)*D2/F2</f>
        <v>5.714285714</v>
      </c>
      <c r="D34" s="15"/>
      <c r="E34" s="15">
        <f t="shared" si="2"/>
        <v>38</v>
      </c>
      <c r="F34" s="16"/>
      <c r="G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3">
        <f t="shared" si="1"/>
        <v>32</v>
      </c>
      <c r="B35" s="14">
        <v>44228.0</v>
      </c>
      <c r="C35" s="17">
        <f>(F2-ROW()+3)*D2/F2</f>
        <v>4.285714286</v>
      </c>
      <c r="D35" s="15"/>
      <c r="E35" s="15">
        <f t="shared" si="2"/>
        <v>38</v>
      </c>
      <c r="F35" s="16"/>
      <c r="G35" s="1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3">
        <f t="shared" si="1"/>
        <v>33</v>
      </c>
      <c r="B36" s="14">
        <v>44229.0</v>
      </c>
      <c r="C36" s="17">
        <f>(F2-ROW()+3)*D2/F2</f>
        <v>2.857142857</v>
      </c>
      <c r="D36" s="15"/>
      <c r="E36" s="15">
        <f t="shared" si="2"/>
        <v>38</v>
      </c>
      <c r="F36" s="16"/>
      <c r="G36" s="1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3">
        <f t="shared" si="1"/>
        <v>34</v>
      </c>
      <c r="B37" s="14">
        <v>44230.0</v>
      </c>
      <c r="C37" s="17">
        <f>(F2-ROW()+3)*D2/F2</f>
        <v>1.428571429</v>
      </c>
      <c r="D37" s="15"/>
      <c r="E37" s="15">
        <f t="shared" si="2"/>
        <v>38</v>
      </c>
      <c r="F37" s="16"/>
      <c r="G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3">
        <f t="shared" si="1"/>
        <v>35</v>
      </c>
      <c r="B38" s="14">
        <v>44231.0</v>
      </c>
      <c r="C38" s="17">
        <f>(F2-ROW()+3)*D2/F2</f>
        <v>0</v>
      </c>
      <c r="D38" s="15"/>
      <c r="E38" s="15">
        <f t="shared" si="2"/>
        <v>38</v>
      </c>
      <c r="F38" s="16"/>
      <c r="G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">
    <mergeCell ref="A2:A3"/>
    <mergeCell ref="B2:C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8.29"/>
    <col customWidth="1" min="3" max="3" width="29.57"/>
    <col customWidth="1" min="4" max="4" width="33.29"/>
    <col customWidth="1" min="5" max="5" width="28.29"/>
    <col customWidth="1" min="6" max="6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1.5" customHeight="1">
      <c r="A2" s="2" t="s">
        <v>0</v>
      </c>
      <c r="B2" s="3" t="s">
        <v>1</v>
      </c>
      <c r="C2" s="4"/>
      <c r="D2" s="5">
        <v>50.0</v>
      </c>
      <c r="E2" s="3" t="s">
        <v>2</v>
      </c>
      <c r="F2" s="6">
        <v>35.0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5.5" customHeight="1">
      <c r="A3" s="7"/>
      <c r="B3" s="8" t="s">
        <v>3</v>
      </c>
      <c r="C3" s="9" t="s">
        <v>4</v>
      </c>
      <c r="D3" s="10" t="s">
        <v>5</v>
      </c>
      <c r="E3" s="10" t="s">
        <v>6</v>
      </c>
      <c r="F3" s="11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3">
        <f t="shared" ref="A4:A38" si="1">ROW()-3</f>
        <v>1</v>
      </c>
      <c r="B4" s="14">
        <v>44197.0</v>
      </c>
      <c r="C4" s="15">
        <f>(F2-ROW()+3)*D2/F2</f>
        <v>48.57142857</v>
      </c>
      <c r="D4" s="13">
        <v>5.0</v>
      </c>
      <c r="E4" s="15">
        <f>D2-D4</f>
        <v>45</v>
      </c>
      <c r="F4" s="16"/>
      <c r="G4" s="1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3">
        <f t="shared" si="1"/>
        <v>2</v>
      </c>
      <c r="B5" s="14">
        <v>44198.0</v>
      </c>
      <c r="C5" s="17">
        <f>(F2-ROW()+3)*D2/F2</f>
        <v>47.14285714</v>
      </c>
      <c r="D5" s="13"/>
      <c r="E5" s="15">
        <f t="shared" ref="E5:E38" si="2">E4-D5</f>
        <v>45</v>
      </c>
      <c r="F5" s="16"/>
      <c r="G5" s="1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3">
        <f t="shared" si="1"/>
        <v>3</v>
      </c>
      <c r="B6" s="14">
        <v>44199.0</v>
      </c>
      <c r="C6" s="17">
        <f>(F2-ROW()+3)*D2/F2</f>
        <v>45.71428571</v>
      </c>
      <c r="D6" s="13">
        <v>3.0</v>
      </c>
      <c r="E6" s="15">
        <f t="shared" si="2"/>
        <v>42</v>
      </c>
      <c r="F6" s="16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>
        <f t="shared" si="1"/>
        <v>4</v>
      </c>
      <c r="B7" s="14">
        <v>44200.0</v>
      </c>
      <c r="C7" s="17">
        <f>(F2-ROW()+3)*D2/F2</f>
        <v>44.28571429</v>
      </c>
      <c r="D7" s="13"/>
      <c r="E7" s="15">
        <f t="shared" si="2"/>
        <v>42</v>
      </c>
      <c r="F7" s="16"/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3">
        <f t="shared" si="1"/>
        <v>5</v>
      </c>
      <c r="B8" s="14">
        <v>44201.0</v>
      </c>
      <c r="C8" s="17">
        <f>(F2-ROW()+3)*D2/F2</f>
        <v>42.85714286</v>
      </c>
      <c r="D8" s="13"/>
      <c r="E8" s="15">
        <f t="shared" si="2"/>
        <v>42</v>
      </c>
      <c r="F8" s="16"/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3">
        <f t="shared" si="1"/>
        <v>6</v>
      </c>
      <c r="B9" s="14">
        <v>44202.0</v>
      </c>
      <c r="C9" s="17">
        <f>(F2-ROW()+3)*D2/F2</f>
        <v>41.42857143</v>
      </c>
      <c r="D9" s="13">
        <v>4.0</v>
      </c>
      <c r="E9" s="15">
        <f t="shared" si="2"/>
        <v>38</v>
      </c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3">
        <f t="shared" si="1"/>
        <v>7</v>
      </c>
      <c r="B10" s="14">
        <v>44203.0</v>
      </c>
      <c r="C10" s="17">
        <f>(F2-ROW()+3)*D2/F2</f>
        <v>40</v>
      </c>
      <c r="D10" s="13"/>
      <c r="E10" s="15">
        <f t="shared" si="2"/>
        <v>38</v>
      </c>
      <c r="F10" s="16"/>
      <c r="G10" s="1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>
        <f t="shared" si="1"/>
        <v>8</v>
      </c>
      <c r="B11" s="14">
        <v>44204.0</v>
      </c>
      <c r="C11" s="17">
        <f>(F2-ROW()+3)*D2/F2</f>
        <v>38.57142857</v>
      </c>
      <c r="D11" s="13"/>
      <c r="E11" s="15">
        <f t="shared" si="2"/>
        <v>38</v>
      </c>
      <c r="F11" s="16"/>
      <c r="G11" s="1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3">
        <f t="shared" si="1"/>
        <v>9</v>
      </c>
      <c r="B12" s="14">
        <v>44205.0</v>
      </c>
      <c r="C12" s="17">
        <f>(F2-ROW()+3)*D2/F2</f>
        <v>37.14285714</v>
      </c>
      <c r="D12" s="13"/>
      <c r="E12" s="15">
        <f t="shared" si="2"/>
        <v>38</v>
      </c>
      <c r="F12" s="16"/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3">
        <f t="shared" si="1"/>
        <v>10</v>
      </c>
      <c r="B13" s="14">
        <v>44206.0</v>
      </c>
      <c r="C13" s="17">
        <f>(F2-ROW()+3)*D2/F2</f>
        <v>35.71428571</v>
      </c>
      <c r="D13" s="13"/>
      <c r="E13" s="15">
        <f t="shared" si="2"/>
        <v>38</v>
      </c>
      <c r="F13" s="16"/>
      <c r="G13" s="1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3">
        <f t="shared" si="1"/>
        <v>11</v>
      </c>
      <c r="B14" s="14">
        <v>44207.0</v>
      </c>
      <c r="C14" s="17">
        <f>(F2-ROW()+3)*D2/F2</f>
        <v>34.28571429</v>
      </c>
      <c r="D14" s="13"/>
      <c r="E14" s="15">
        <f t="shared" si="2"/>
        <v>38</v>
      </c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3">
        <f t="shared" si="1"/>
        <v>12</v>
      </c>
      <c r="B15" s="14">
        <v>44208.0</v>
      </c>
      <c r="C15" s="17">
        <f>(F2-ROW()+3)*D2/F2</f>
        <v>32.85714286</v>
      </c>
      <c r="D15" s="13"/>
      <c r="E15" s="15">
        <f t="shared" si="2"/>
        <v>38</v>
      </c>
      <c r="F15" s="16"/>
      <c r="G15" s="1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3">
        <f t="shared" si="1"/>
        <v>13</v>
      </c>
      <c r="B16" s="14">
        <v>44209.0</v>
      </c>
      <c r="C16" s="17">
        <f>(F2-ROW()+3)*D2/F2</f>
        <v>31.42857143</v>
      </c>
      <c r="D16" s="13"/>
      <c r="E16" s="15">
        <f t="shared" si="2"/>
        <v>38</v>
      </c>
      <c r="F16" s="16"/>
      <c r="G16" s="1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3">
        <f t="shared" si="1"/>
        <v>14</v>
      </c>
      <c r="B17" s="14">
        <v>44210.0</v>
      </c>
      <c r="C17" s="17">
        <f>(F2-ROW()+3)*D2/F2</f>
        <v>30</v>
      </c>
      <c r="D17" s="13"/>
      <c r="E17" s="15">
        <f t="shared" si="2"/>
        <v>38</v>
      </c>
      <c r="F17" s="16"/>
      <c r="G17" s="1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3">
        <f t="shared" si="1"/>
        <v>15</v>
      </c>
      <c r="B18" s="14">
        <v>44211.0</v>
      </c>
      <c r="C18" s="17">
        <f>(F2-ROW()+3)*D2/F2</f>
        <v>28.57142857</v>
      </c>
      <c r="D18" s="13"/>
      <c r="E18" s="15">
        <f t="shared" si="2"/>
        <v>38</v>
      </c>
      <c r="F18" s="16"/>
      <c r="G18" s="1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>
        <f t="shared" si="1"/>
        <v>16</v>
      </c>
      <c r="B19" s="14">
        <v>44212.0</v>
      </c>
      <c r="C19" s="17">
        <f>(F2-ROW()+3)*D2/F2</f>
        <v>27.14285714</v>
      </c>
      <c r="D19" s="13"/>
      <c r="E19" s="15">
        <f t="shared" si="2"/>
        <v>38</v>
      </c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3">
        <f t="shared" si="1"/>
        <v>17</v>
      </c>
      <c r="B20" s="14">
        <v>44213.0</v>
      </c>
      <c r="C20" s="17">
        <f>(F2-ROW()+3)*D2/F2</f>
        <v>25.71428571</v>
      </c>
      <c r="D20" s="13"/>
      <c r="E20" s="15">
        <f t="shared" si="2"/>
        <v>38</v>
      </c>
      <c r="F20" s="16"/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3">
        <f t="shared" si="1"/>
        <v>18</v>
      </c>
      <c r="B21" s="14">
        <v>44214.0</v>
      </c>
      <c r="C21" s="17">
        <f>(F2-ROW()+3)*D2/F2</f>
        <v>24.28571429</v>
      </c>
      <c r="D21" s="13"/>
      <c r="E21" s="15">
        <f t="shared" si="2"/>
        <v>38</v>
      </c>
      <c r="F21" s="16"/>
      <c r="G21" s="1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3">
        <f t="shared" si="1"/>
        <v>19</v>
      </c>
      <c r="B22" s="14">
        <v>44215.0</v>
      </c>
      <c r="C22" s="17">
        <f>(F2-ROW()+3)*D2/F2</f>
        <v>22.85714286</v>
      </c>
      <c r="D22" s="13"/>
      <c r="E22" s="15">
        <f t="shared" si="2"/>
        <v>38</v>
      </c>
      <c r="F22" s="16"/>
      <c r="G22" s="1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3">
        <f t="shared" si="1"/>
        <v>20</v>
      </c>
      <c r="B23" s="14">
        <v>44216.0</v>
      </c>
      <c r="C23" s="17">
        <f>(F2-ROW()+3)*D2/F2</f>
        <v>21.42857143</v>
      </c>
      <c r="D23" s="15"/>
      <c r="E23" s="15">
        <f t="shared" si="2"/>
        <v>38</v>
      </c>
      <c r="F23" s="16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3">
        <f t="shared" si="1"/>
        <v>21</v>
      </c>
      <c r="B24" s="14">
        <v>44217.0</v>
      </c>
      <c r="C24" s="17">
        <f>(F2-ROW()+3)*D2/F2</f>
        <v>20</v>
      </c>
      <c r="D24" s="15"/>
      <c r="E24" s="15">
        <f t="shared" si="2"/>
        <v>38</v>
      </c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3">
        <f t="shared" si="1"/>
        <v>22</v>
      </c>
      <c r="B25" s="14">
        <v>44218.0</v>
      </c>
      <c r="C25" s="17">
        <f>(F2-ROW()+3)*D2/F2</f>
        <v>18.57142857</v>
      </c>
      <c r="D25" s="15"/>
      <c r="E25" s="15">
        <f t="shared" si="2"/>
        <v>38</v>
      </c>
      <c r="F25" s="16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">
        <f t="shared" si="1"/>
        <v>23</v>
      </c>
      <c r="B26" s="14">
        <v>44219.0</v>
      </c>
      <c r="C26" s="17">
        <f>(F2-ROW()+3)*D2/F2</f>
        <v>17.14285714</v>
      </c>
      <c r="D26" s="15"/>
      <c r="E26" s="15">
        <f t="shared" si="2"/>
        <v>38</v>
      </c>
      <c r="F26" s="16"/>
      <c r="G26" s="1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3">
        <f t="shared" si="1"/>
        <v>24</v>
      </c>
      <c r="B27" s="14">
        <v>44220.0</v>
      </c>
      <c r="C27" s="17">
        <f>(F2-ROW()+3)*D2/F2</f>
        <v>15.71428571</v>
      </c>
      <c r="D27" s="15"/>
      <c r="E27" s="15">
        <f t="shared" si="2"/>
        <v>38</v>
      </c>
      <c r="F27" s="16"/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3">
        <f t="shared" si="1"/>
        <v>25</v>
      </c>
      <c r="B28" s="14">
        <v>44221.0</v>
      </c>
      <c r="C28" s="17">
        <f>(F2-ROW()+3)*D2/F2</f>
        <v>14.28571429</v>
      </c>
      <c r="D28" s="13"/>
      <c r="E28" s="15">
        <f t="shared" si="2"/>
        <v>38</v>
      </c>
      <c r="F28" s="16"/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3">
        <f t="shared" si="1"/>
        <v>26</v>
      </c>
      <c r="B29" s="14">
        <v>44222.0</v>
      </c>
      <c r="C29" s="17">
        <f>(F2-ROW()+3)*D2/F2</f>
        <v>12.85714286</v>
      </c>
      <c r="D29" s="15"/>
      <c r="E29" s="15">
        <f t="shared" si="2"/>
        <v>38</v>
      </c>
      <c r="F29" s="16"/>
      <c r="G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3">
        <f t="shared" si="1"/>
        <v>27</v>
      </c>
      <c r="B30" s="14">
        <v>44223.0</v>
      </c>
      <c r="C30" s="17">
        <f>(F2-ROW()+3)*D2/F2</f>
        <v>11.42857143</v>
      </c>
      <c r="D30" s="15"/>
      <c r="E30" s="15">
        <f t="shared" si="2"/>
        <v>38</v>
      </c>
      <c r="F30" s="16"/>
      <c r="G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3">
        <f t="shared" si="1"/>
        <v>28</v>
      </c>
      <c r="B31" s="14">
        <v>44224.0</v>
      </c>
      <c r="C31" s="17">
        <f>(F2-ROW()+3)*D2/F2</f>
        <v>10</v>
      </c>
      <c r="D31" s="15"/>
      <c r="E31" s="15">
        <f t="shared" si="2"/>
        <v>38</v>
      </c>
      <c r="F31" s="16"/>
      <c r="G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3">
        <f t="shared" si="1"/>
        <v>29</v>
      </c>
      <c r="B32" s="14">
        <v>44225.0</v>
      </c>
      <c r="C32" s="17">
        <f>(F2-ROW()+3)*D2/F2</f>
        <v>8.571428571</v>
      </c>
      <c r="D32" s="15"/>
      <c r="E32" s="15">
        <f t="shared" si="2"/>
        <v>38</v>
      </c>
      <c r="F32" s="16"/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3">
        <f t="shared" si="1"/>
        <v>30</v>
      </c>
      <c r="B33" s="14">
        <v>44226.0</v>
      </c>
      <c r="C33" s="17">
        <f>(F2-ROW()+3)*D2/F2</f>
        <v>7.142857143</v>
      </c>
      <c r="D33" s="15"/>
      <c r="E33" s="15">
        <f t="shared" si="2"/>
        <v>38</v>
      </c>
      <c r="F33" s="16"/>
      <c r="G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3">
        <f t="shared" si="1"/>
        <v>31</v>
      </c>
      <c r="B34" s="14">
        <v>44227.0</v>
      </c>
      <c r="C34" s="17">
        <f>(F2-ROW()+3)*D2/F2</f>
        <v>5.714285714</v>
      </c>
      <c r="D34" s="15"/>
      <c r="E34" s="15">
        <f t="shared" si="2"/>
        <v>38</v>
      </c>
      <c r="F34" s="16"/>
      <c r="G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3">
        <f t="shared" si="1"/>
        <v>32</v>
      </c>
      <c r="B35" s="14">
        <v>44228.0</v>
      </c>
      <c r="C35" s="17">
        <f>(F2-ROW()+3)*D2/F2</f>
        <v>4.285714286</v>
      </c>
      <c r="D35" s="15"/>
      <c r="E35" s="15">
        <f t="shared" si="2"/>
        <v>38</v>
      </c>
      <c r="F35" s="16"/>
      <c r="G35" s="1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3">
        <f t="shared" si="1"/>
        <v>33</v>
      </c>
      <c r="B36" s="14">
        <v>44229.0</v>
      </c>
      <c r="C36" s="17">
        <f>(F2-ROW()+3)*D2/F2</f>
        <v>2.857142857</v>
      </c>
      <c r="D36" s="15"/>
      <c r="E36" s="15">
        <f t="shared" si="2"/>
        <v>38</v>
      </c>
      <c r="F36" s="16"/>
      <c r="G36" s="1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3">
        <f t="shared" si="1"/>
        <v>34</v>
      </c>
      <c r="B37" s="14">
        <v>44230.0</v>
      </c>
      <c r="C37" s="17">
        <f>(F2-ROW()+3)*D2/F2</f>
        <v>1.428571429</v>
      </c>
      <c r="D37" s="15"/>
      <c r="E37" s="15">
        <f t="shared" si="2"/>
        <v>38</v>
      </c>
      <c r="F37" s="16"/>
      <c r="G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3">
        <f t="shared" si="1"/>
        <v>35</v>
      </c>
      <c r="B38" s="14">
        <v>44231.0</v>
      </c>
      <c r="C38" s="17">
        <f>(F2-ROW()+3)*D2/F2</f>
        <v>0</v>
      </c>
      <c r="D38" s="15"/>
      <c r="E38" s="15">
        <f t="shared" si="2"/>
        <v>38</v>
      </c>
      <c r="F38" s="16"/>
      <c r="G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">
    <mergeCell ref="A2:A3"/>
    <mergeCell ref="B2:C2"/>
  </mergeCells>
  <drawing r:id="rId1"/>
</worksheet>
</file>